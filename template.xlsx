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ungsoopark/Downloads/"/>
    </mc:Choice>
  </mc:AlternateContent>
  <xr:revisionPtr revIDLastSave="0" documentId="11_D198DD429E11A22F48464DF254C8D06D103976B7" xr6:coauthVersionLast="47" xr6:coauthVersionMax="47" xr10:uidLastSave="{00000000-0000-0000-0000-000000000000}"/>
  <bookViews>
    <workbookView xWindow="0" yWindow="500" windowWidth="51200" windowHeight="26360" tabRatio="500" xr2:uid="{00000000-000D-0000-FFFF-FFFF00000000}"/>
  </bookViews>
  <sheets>
    <sheet name="취합본" sheetId="1" r:id="rId1"/>
    <sheet name="우선순위 분석" sheetId="2" r:id="rId2"/>
    <sheet name="경영팀 표1" sheetId="3" r:id="rId3"/>
    <sheet name="경영팀 표2" sheetId="4" r:id="rId4"/>
  </sheets>
  <definedNames>
    <definedName name="_xlnm._FilterDatabase" localSheetId="0" hidden="1">취합본!$A$2:$I$2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F35" i="4" l="1"/>
  <c r="K35" i="4"/>
  <c r="J35" i="4"/>
  <c r="I35" i="4"/>
  <c r="H35" i="4"/>
  <c r="G35" i="4"/>
  <c r="F35" i="4"/>
  <c r="AR9" i="4"/>
  <c r="AR8" i="4"/>
  <c r="AR7" i="4"/>
  <c r="AR6" i="4"/>
  <c r="AR5" i="4"/>
  <c r="AR4" i="4"/>
  <c r="AR3" i="4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</calcChain>
</file>

<file path=xl/sharedStrings.xml><?xml version="1.0" encoding="utf-8"?>
<sst xmlns="http://schemas.openxmlformats.org/spreadsheetml/2006/main" count="520" uniqueCount="312">
  <si>
    <t>호칭생략</t>
  </si>
  <si>
    <r>
      <rPr>
        <sz val="8"/>
        <color theme="1"/>
        <rFont val="맑은 고딕"/>
        <family val="2"/>
        <charset val="129"/>
      </rPr>
      <t xml:space="preserve">1. </t>
    </r>
    <r>
      <rPr>
        <sz val="8"/>
        <color theme="1"/>
        <rFont val="Noto Sans CJK SC"/>
        <family val="2"/>
      </rPr>
      <t xml:space="preserve">외래진료
</t>
    </r>
    <r>
      <rPr>
        <sz val="8"/>
        <color theme="1"/>
        <rFont val="맑은 고딕"/>
        <family val="2"/>
        <charset val="129"/>
      </rPr>
      <t xml:space="preserve">2. </t>
    </r>
    <r>
      <rPr>
        <sz val="8"/>
        <color theme="1"/>
        <rFont val="Noto Sans CJK SC"/>
        <family val="2"/>
      </rPr>
      <t xml:space="preserve">병동진료
</t>
    </r>
    <r>
      <rPr>
        <sz val="8"/>
        <color theme="1"/>
        <rFont val="맑은 고딕"/>
        <family val="2"/>
        <charset val="129"/>
      </rPr>
      <t xml:space="preserve">3. </t>
    </r>
    <r>
      <rPr>
        <sz val="8"/>
        <color theme="1"/>
        <rFont val="Noto Sans CJK SC"/>
        <family val="2"/>
      </rPr>
      <t xml:space="preserve">행정
</t>
    </r>
    <r>
      <rPr>
        <sz val="8"/>
        <color theme="1"/>
        <rFont val="맑은 고딕"/>
        <family val="2"/>
        <charset val="129"/>
      </rPr>
      <t xml:space="preserve">4. </t>
    </r>
    <r>
      <rPr>
        <sz val="8"/>
        <color theme="1"/>
        <rFont val="Noto Sans CJK SC"/>
        <family val="2"/>
      </rPr>
      <t>연구</t>
    </r>
  </si>
  <si>
    <r>
      <rPr>
        <sz val="8"/>
        <color theme="1"/>
        <rFont val="Noto Sans CJK SC"/>
        <family val="2"/>
      </rPr>
      <t>결정</t>
    </r>
    <r>
      <rPr>
        <sz val="8"/>
        <color theme="1"/>
        <rFont val="맑은 고딕"/>
        <family val="2"/>
        <charset val="129"/>
      </rPr>
      <t xml:space="preserve">: 
</t>
    </r>
    <r>
      <rPr>
        <sz val="8"/>
        <color theme="1"/>
        <rFont val="Noto Sans CJK SC"/>
        <family val="2"/>
      </rPr>
      <t xml:space="preserve">박성수 검토 </t>
    </r>
  </si>
  <si>
    <r>
      <rPr>
        <sz val="8"/>
        <color theme="1"/>
        <rFont val="Noto Sans CJK SC"/>
        <family val="2"/>
      </rPr>
      <t>결정</t>
    </r>
    <r>
      <rPr>
        <sz val="8"/>
        <color theme="1"/>
        <rFont val="맑은 고딕"/>
        <family val="2"/>
        <charset val="129"/>
      </rPr>
      <t xml:space="preserve">: 
</t>
    </r>
    <r>
      <rPr>
        <sz val="8"/>
        <color theme="1"/>
        <rFont val="Noto Sans CJK SC"/>
        <family val="2"/>
      </rPr>
      <t>박성수 검토 및 제출자 상의 후 추가</t>
    </r>
  </si>
  <si>
    <r>
      <rPr>
        <sz val="8"/>
        <color theme="1"/>
        <rFont val="Noto Sans CJK SC"/>
        <family val="2"/>
      </rPr>
      <t>결정</t>
    </r>
    <r>
      <rPr>
        <sz val="8"/>
        <color theme="1"/>
        <rFont val="맑은 고딕"/>
        <family val="2"/>
        <charset val="129"/>
      </rPr>
      <t xml:space="preserve">: 
</t>
    </r>
    <r>
      <rPr>
        <sz val="8"/>
        <color theme="1"/>
        <rFont val="Noto Sans CJK SC"/>
        <family val="2"/>
      </rPr>
      <t xml:space="preserve">박성수 검토 </t>
    </r>
    <r>
      <rPr>
        <sz val="8"/>
        <color theme="1"/>
        <rFont val="맑은 고딕"/>
        <family val="2"/>
        <charset val="129"/>
      </rPr>
      <t xml:space="preserve">-&gt; </t>
    </r>
    <r>
      <rPr>
        <sz val="8"/>
        <color theme="1"/>
        <rFont val="Noto Sans CJK SC"/>
        <family val="2"/>
      </rPr>
      <t>혈액병원장님 승인</t>
    </r>
  </si>
  <si>
    <t>구분</t>
  </si>
  <si>
    <r>
      <rPr>
        <sz val="12"/>
        <color theme="1"/>
        <rFont val="Noto Sans CJK SC"/>
        <family val="2"/>
      </rPr>
      <t>제출인</t>
    </r>
    <r>
      <rPr>
        <sz val="12"/>
        <color theme="1"/>
        <rFont val="맑은 고딕"/>
        <family val="2"/>
        <charset val="129"/>
      </rPr>
      <t>/</t>
    </r>
    <r>
      <rPr>
        <sz val="12"/>
        <color theme="1"/>
        <rFont val="Noto Sans CJK SC"/>
        <family val="2"/>
      </rPr>
      <t>팀</t>
    </r>
  </si>
  <si>
    <t>주제</t>
  </si>
  <si>
    <r>
      <rPr>
        <sz val="12"/>
        <color theme="1"/>
        <rFont val="Noto Sans CJK SC"/>
        <family val="2"/>
      </rPr>
      <t>데이터셋</t>
    </r>
    <r>
      <rPr>
        <sz val="12"/>
        <color theme="1"/>
        <rFont val="맑은 고딕"/>
        <family val="2"/>
        <charset val="129"/>
      </rPr>
      <t>(</t>
    </r>
    <r>
      <rPr>
        <sz val="12"/>
        <color theme="1"/>
        <rFont val="Noto Sans CJK SC"/>
        <family val="2"/>
      </rPr>
      <t>원천 데이터</t>
    </r>
    <r>
      <rPr>
        <sz val="12"/>
        <color theme="1"/>
        <rFont val="맑은 고딕"/>
        <family val="2"/>
        <charset val="129"/>
      </rPr>
      <t>)</t>
    </r>
  </si>
  <si>
    <t>기존 프로그램 적용 여부</t>
  </si>
  <si>
    <t>지원 필요사항 정리</t>
  </si>
  <si>
    <t>우선순위</t>
  </si>
  <si>
    <t>개발난이도</t>
  </si>
  <si>
    <t>예시</t>
  </si>
  <si>
    <t>김유진</t>
  </si>
  <si>
    <r>
      <rPr>
        <sz val="12"/>
        <color theme="1"/>
        <rFont val="맑은 고딕"/>
        <family val="2"/>
        <charset val="129"/>
      </rPr>
      <t xml:space="preserve">3. </t>
    </r>
    <r>
      <rPr>
        <sz val="12"/>
        <color theme="1"/>
        <rFont val="Noto Sans CJK SC"/>
        <family val="2"/>
      </rPr>
      <t>행정</t>
    </r>
  </si>
  <si>
    <r>
      <rPr>
        <sz val="12"/>
        <color theme="1"/>
        <rFont val="Noto Sans CJK SC"/>
        <family val="2"/>
      </rPr>
      <t>순이익 분석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 xml:space="preserve">매출 자동화 분석 </t>
    </r>
    <r>
      <rPr>
        <sz val="12"/>
        <color theme="1"/>
        <rFont val="맑은 고딕"/>
        <family val="2"/>
        <charset val="129"/>
      </rPr>
      <t>agent</t>
    </r>
  </si>
  <si>
    <r>
      <rPr>
        <sz val="12"/>
        <color theme="1"/>
        <rFont val="Noto Sans CJK SC"/>
        <family val="2"/>
      </rPr>
      <t xml:space="preserve">월간 </t>
    </r>
    <r>
      <rPr>
        <sz val="12"/>
        <color theme="1"/>
        <rFont val="맑은 고딕"/>
        <family val="2"/>
        <charset val="129"/>
      </rPr>
      <t>Raw data (</t>
    </r>
    <r>
      <rPr>
        <sz val="12"/>
        <color theme="1"/>
        <rFont val="Noto Sans CJK SC"/>
        <family val="2"/>
      </rPr>
      <t>혈액병원 제공</t>
    </r>
    <r>
      <rPr>
        <sz val="12"/>
        <color theme="1"/>
        <rFont val="맑은 고딕"/>
        <family val="2"/>
        <charset val="129"/>
      </rPr>
      <t>)</t>
    </r>
  </si>
  <si>
    <t>완료</t>
  </si>
  <si>
    <t>박성수</t>
  </si>
  <si>
    <r>
      <rPr>
        <sz val="12"/>
        <color theme="1"/>
        <rFont val="맑은 고딕"/>
        <family val="2"/>
        <charset val="129"/>
      </rPr>
      <t xml:space="preserve">1. </t>
    </r>
    <r>
      <rPr>
        <sz val="12"/>
        <color theme="1"/>
        <rFont val="Noto Sans CJK SC"/>
        <family val="2"/>
      </rPr>
      <t>외래진료</t>
    </r>
  </si>
  <si>
    <r>
      <rPr>
        <sz val="12"/>
        <color theme="1"/>
        <rFont val="Noto Sans CJK SC"/>
        <family val="2"/>
      </rPr>
      <t xml:space="preserve">임상시험 등록가능환자 선별 </t>
    </r>
    <r>
      <rPr>
        <sz val="12"/>
        <color theme="1"/>
        <rFont val="맑은 고딕"/>
        <family val="2"/>
        <charset val="129"/>
      </rPr>
      <t>agent</t>
    </r>
  </si>
  <si>
    <r>
      <rPr>
        <sz val="12"/>
        <color theme="1"/>
        <rFont val="맑은 고딕"/>
        <family val="2"/>
        <charset val="129"/>
      </rPr>
      <t xml:space="preserve">nu </t>
    </r>
    <r>
      <rPr>
        <sz val="12"/>
        <color theme="1"/>
        <rFont val="Noto Sans CJK SC"/>
        <family val="2"/>
      </rPr>
      <t xml:space="preserve">레지스트리
임상시험 프로토콜 </t>
    </r>
    <r>
      <rPr>
        <sz val="12"/>
        <color theme="1"/>
        <rFont val="맑은 고딕"/>
        <family val="2"/>
        <charset val="129"/>
      </rPr>
      <t>PDF</t>
    </r>
  </si>
  <si>
    <t>홍길동</t>
  </si>
  <si>
    <r>
      <rPr>
        <sz val="12"/>
        <color theme="1"/>
        <rFont val="맑은 고딕"/>
        <family val="2"/>
        <charset val="129"/>
      </rPr>
      <t xml:space="preserve">2. </t>
    </r>
    <r>
      <rPr>
        <sz val="12"/>
        <color theme="1"/>
        <rFont val="Noto Sans CJK SC"/>
        <family val="2"/>
      </rPr>
      <t>병동진료</t>
    </r>
  </si>
  <si>
    <r>
      <rPr>
        <sz val="12"/>
        <color theme="1"/>
        <rFont val="맑은 고딕"/>
        <family val="2"/>
        <charset val="129"/>
      </rPr>
      <t xml:space="preserve">electrolye, IVIG, </t>
    </r>
    <r>
      <rPr>
        <sz val="12"/>
        <color theme="1"/>
        <rFont val="Noto Sans CJK SC"/>
        <family val="2"/>
      </rPr>
      <t xml:space="preserve">수혈 등 기초적인 처치용 </t>
    </r>
    <r>
      <rPr>
        <sz val="12"/>
        <color theme="1"/>
        <rFont val="맑은 고딕"/>
        <family val="2"/>
        <charset val="129"/>
      </rPr>
      <t>agent</t>
    </r>
  </si>
  <si>
    <t>-</t>
  </si>
  <si>
    <t>nU, c-talk</t>
  </si>
  <si>
    <r>
      <rPr>
        <sz val="12"/>
        <color theme="1"/>
        <rFont val="Noto Sans CJK SC"/>
        <family val="2"/>
      </rPr>
      <t xml:space="preserve">정규처방 입력 </t>
    </r>
    <r>
      <rPr>
        <sz val="12"/>
        <color theme="1"/>
        <rFont val="맑은 고딕"/>
        <family val="2"/>
        <charset val="129"/>
      </rPr>
      <t>agent</t>
    </r>
  </si>
  <si>
    <t>박소연</t>
  </si>
  <si>
    <t xml:space="preserve">개인 맞춤형 회진용 명단 </t>
  </si>
  <si>
    <r>
      <rPr>
        <sz val="12"/>
        <color theme="1"/>
        <rFont val="맑은 고딕"/>
        <family val="2"/>
        <charset val="129"/>
      </rPr>
      <t xml:space="preserve">nU CBC list
</t>
    </r>
    <r>
      <rPr>
        <sz val="12"/>
        <color theme="1"/>
        <rFont val="Noto Sans CJK SC"/>
        <family val="2"/>
      </rPr>
      <t xml:space="preserve">회진용 </t>
    </r>
    <r>
      <rPr>
        <sz val="12"/>
        <color theme="1"/>
        <rFont val="맑은 고딕"/>
        <family val="2"/>
        <charset val="129"/>
      </rPr>
      <t>lab</t>
    </r>
  </si>
  <si>
    <r>
      <rPr>
        <sz val="12"/>
        <color theme="1"/>
        <rFont val="Noto Sans CJK SC"/>
        <family val="2"/>
      </rPr>
      <t>완료</t>
    </r>
    <r>
      <rPr>
        <sz val="12"/>
        <color theme="1"/>
        <rFont val="맑은 고딕"/>
        <family val="2"/>
        <charset val="129"/>
      </rPr>
      <t>(</t>
    </r>
    <r>
      <rPr>
        <sz val="12"/>
        <color theme="1"/>
        <rFont val="Noto Sans CJK SC"/>
        <family val="2"/>
      </rPr>
      <t>개발방법 교육 완료</t>
    </r>
    <r>
      <rPr>
        <sz val="12"/>
        <color theme="1"/>
        <rFont val="맑은 고딕"/>
        <family val="2"/>
        <charset val="129"/>
      </rPr>
      <t>)</t>
    </r>
  </si>
  <si>
    <r>
      <rPr>
        <sz val="12"/>
        <color theme="1"/>
        <rFont val="맑은 고딕"/>
        <family val="2"/>
        <charset val="129"/>
      </rPr>
      <t xml:space="preserve">1. </t>
    </r>
    <r>
      <rPr>
        <sz val="12"/>
        <color theme="1"/>
        <rFont val="Noto Sans CJK SC"/>
        <family val="2"/>
      </rPr>
      <t xml:space="preserve">병동진료
</t>
    </r>
    <r>
      <rPr>
        <sz val="12"/>
        <color theme="1"/>
        <rFont val="맑은 고딕"/>
        <family val="2"/>
        <charset val="129"/>
      </rPr>
      <t xml:space="preserve">3. </t>
    </r>
    <r>
      <rPr>
        <sz val="12"/>
        <color theme="1"/>
        <rFont val="Noto Sans CJK SC"/>
        <family val="2"/>
      </rPr>
      <t>연구</t>
    </r>
  </si>
  <si>
    <r>
      <rPr>
        <sz val="12"/>
        <color theme="1"/>
        <rFont val="Noto Sans CJK SC"/>
        <family val="2"/>
      </rPr>
      <t xml:space="preserve">인슐린 처방 용량 자동화 제안 </t>
    </r>
    <r>
      <rPr>
        <sz val="12"/>
        <color theme="1"/>
        <rFont val="맑은 고딕"/>
        <family val="2"/>
        <charset val="129"/>
      </rPr>
      <t>agent</t>
    </r>
  </si>
  <si>
    <r>
      <rPr>
        <sz val="12"/>
        <color theme="1"/>
        <rFont val="맑은 고딕"/>
        <family val="2"/>
        <charset val="129"/>
      </rPr>
      <t xml:space="preserve">c-talk
nU </t>
    </r>
    <r>
      <rPr>
        <sz val="12"/>
        <color theme="1"/>
        <rFont val="Noto Sans CJK SC"/>
        <family val="2"/>
      </rPr>
      <t xml:space="preserve">당뇨판
필요시 </t>
    </r>
    <r>
      <rPr>
        <sz val="12"/>
        <color theme="1"/>
        <rFont val="맑은 고딕"/>
        <family val="2"/>
        <charset val="129"/>
      </rPr>
      <t>CDW</t>
    </r>
  </si>
  <si>
    <r>
      <rPr>
        <sz val="12"/>
        <color theme="1"/>
        <rFont val="맑은 고딕"/>
        <family val="2"/>
        <charset val="129"/>
      </rPr>
      <t xml:space="preserve">3. </t>
    </r>
    <r>
      <rPr>
        <sz val="12"/>
        <color theme="1"/>
        <rFont val="Noto Sans CJK SC"/>
        <family val="2"/>
      </rPr>
      <t xml:space="preserve">행정
</t>
    </r>
    <r>
      <rPr>
        <sz val="12"/>
        <color theme="1"/>
        <rFont val="맑은 고딕"/>
        <family val="2"/>
        <charset val="129"/>
      </rPr>
      <t xml:space="preserve">4. </t>
    </r>
    <r>
      <rPr>
        <sz val="12"/>
        <color theme="1"/>
        <rFont val="Noto Sans CJK SC"/>
        <family val="2"/>
      </rPr>
      <t>연구</t>
    </r>
  </si>
  <si>
    <r>
      <rPr>
        <sz val="12"/>
        <color theme="1"/>
        <rFont val="맑은 고딕"/>
        <family val="2"/>
        <charset val="129"/>
      </rPr>
      <t xml:space="preserve">IRB </t>
    </r>
    <r>
      <rPr>
        <sz val="12"/>
        <color theme="1"/>
        <rFont val="Noto Sans CJK SC"/>
        <family val="2"/>
      </rPr>
      <t xml:space="preserve">문서 개발 지원 </t>
    </r>
    <r>
      <rPr>
        <sz val="12"/>
        <color theme="1"/>
        <rFont val="맑은 고딕"/>
        <family val="2"/>
        <charset val="129"/>
      </rPr>
      <t>tool</t>
    </r>
  </si>
  <si>
    <r>
      <rPr>
        <sz val="12"/>
        <color theme="1"/>
        <rFont val="Noto Sans CJK SC"/>
        <family val="2"/>
      </rPr>
      <t xml:space="preserve">기존 </t>
    </r>
    <r>
      <rPr>
        <sz val="12"/>
        <color theme="1"/>
        <rFont val="맑은 고딕"/>
        <family val="2"/>
        <charset val="129"/>
      </rPr>
      <t xml:space="preserve">IRB </t>
    </r>
    <r>
      <rPr>
        <sz val="12"/>
        <color theme="1"/>
        <rFont val="Noto Sans CJK SC"/>
        <family val="2"/>
      </rPr>
      <t>문서 전체 수집</t>
    </r>
  </si>
  <si>
    <r>
      <rPr>
        <sz val="12"/>
        <color theme="1"/>
        <rFont val="맑은 고딕"/>
        <family val="2"/>
        <charset val="129"/>
      </rPr>
      <t xml:space="preserve">2. </t>
    </r>
    <r>
      <rPr>
        <sz val="12"/>
        <color theme="1"/>
        <rFont val="Noto Sans CJK SC"/>
        <family val="2"/>
      </rPr>
      <t xml:space="preserve">병동진료
</t>
    </r>
    <r>
      <rPr>
        <sz val="12"/>
        <color theme="1"/>
        <rFont val="맑은 고딕"/>
        <family val="2"/>
        <charset val="129"/>
      </rPr>
      <t xml:space="preserve">4. </t>
    </r>
    <r>
      <rPr>
        <sz val="12"/>
        <color theme="1"/>
        <rFont val="Noto Sans CJK SC"/>
        <family val="2"/>
      </rPr>
      <t>연구</t>
    </r>
  </si>
  <si>
    <r>
      <rPr>
        <sz val="12"/>
        <color theme="1"/>
        <rFont val="Noto Sans CJK SC"/>
        <family val="2"/>
      </rPr>
      <t xml:space="preserve">중환자실 자동화운영 개발
</t>
    </r>
    <r>
      <rPr>
        <sz val="12"/>
        <color theme="1"/>
        <rFont val="맑은 고딕"/>
        <family val="2"/>
        <charset val="129"/>
      </rPr>
      <t xml:space="preserve">- infusion pump </t>
    </r>
    <r>
      <rPr>
        <sz val="12"/>
        <color theme="1"/>
        <rFont val="Noto Sans CJK SC"/>
        <family val="2"/>
      </rPr>
      <t xml:space="preserve">자동화 </t>
    </r>
    <r>
      <rPr>
        <sz val="12"/>
        <color theme="1"/>
        <rFont val="맑은 고딕"/>
        <family val="2"/>
        <charset val="129"/>
      </rPr>
      <t xml:space="preserve">agent
- CRRT setting </t>
    </r>
    <r>
      <rPr>
        <sz val="12"/>
        <color theme="1"/>
        <rFont val="Noto Sans CJK SC"/>
        <family val="2"/>
      </rPr>
      <t xml:space="preserve">자동화 </t>
    </r>
    <r>
      <rPr>
        <sz val="12"/>
        <color theme="1"/>
        <rFont val="맑은 고딕"/>
        <family val="2"/>
        <charset val="129"/>
      </rPr>
      <t xml:space="preserve">agent
- ventilator setteng </t>
    </r>
    <r>
      <rPr>
        <sz val="12"/>
        <color theme="1"/>
        <rFont val="Noto Sans CJK SC"/>
        <family val="2"/>
      </rPr>
      <t xml:space="preserve">자동화 </t>
    </r>
    <r>
      <rPr>
        <sz val="12"/>
        <color theme="1"/>
        <rFont val="맑은 고딕"/>
        <family val="2"/>
        <charset val="129"/>
      </rPr>
      <t xml:space="preserve">agent
- ECMO setting </t>
    </r>
    <r>
      <rPr>
        <sz val="12"/>
        <color theme="1"/>
        <rFont val="Noto Sans CJK SC"/>
        <family val="2"/>
      </rPr>
      <t xml:space="preserve">자동화 </t>
    </r>
    <r>
      <rPr>
        <sz val="12"/>
        <color theme="1"/>
        <rFont val="맑은 고딕"/>
        <family val="2"/>
        <charset val="129"/>
      </rPr>
      <t>agent</t>
    </r>
  </si>
  <si>
    <t>CDW</t>
  </si>
  <si>
    <r>
      <rPr>
        <sz val="12"/>
        <color theme="1"/>
        <rFont val="맑은 고딕"/>
        <family val="2"/>
        <charset val="129"/>
      </rPr>
      <t xml:space="preserve">nU </t>
    </r>
    <r>
      <rPr>
        <sz val="12"/>
        <color theme="1"/>
        <rFont val="Noto Sans CJK SC"/>
        <family val="2"/>
      </rPr>
      <t>내 간호 데이터 연결</t>
    </r>
  </si>
  <si>
    <r>
      <rPr>
        <sz val="12"/>
        <color theme="1"/>
        <rFont val="Noto Sans CJK SC"/>
        <family val="2"/>
      </rPr>
      <t xml:space="preserve">센서 개발 팀
박승 교수님팀 연결
</t>
    </r>
    <r>
      <rPr>
        <sz val="12"/>
        <color theme="1"/>
        <rFont val="맑은 고딕"/>
        <family val="2"/>
        <charset val="129"/>
      </rPr>
      <t xml:space="preserve">infusion pump </t>
    </r>
    <r>
      <rPr>
        <sz val="12"/>
        <color theme="1"/>
        <rFont val="Noto Sans CJK SC"/>
        <family val="2"/>
      </rPr>
      <t>개발 회사 연결</t>
    </r>
  </si>
  <si>
    <t>행정팀</t>
  </si>
  <si>
    <r>
      <rPr>
        <sz val="12"/>
        <color theme="1"/>
        <rFont val="맑은 고딕"/>
        <family val="2"/>
        <charset val="129"/>
      </rPr>
      <t xml:space="preserve">CART </t>
    </r>
    <r>
      <rPr>
        <sz val="12"/>
        <color theme="1"/>
        <rFont val="Noto Sans CJK SC"/>
        <family val="2"/>
      </rPr>
      <t xml:space="preserve">후 대관서류 작성 </t>
    </r>
    <r>
      <rPr>
        <sz val="12"/>
        <color theme="1"/>
        <rFont val="맑은 고딕"/>
        <family val="2"/>
        <charset val="129"/>
      </rPr>
      <t>agent</t>
    </r>
  </si>
  <si>
    <t>레지스트리 데이터</t>
  </si>
  <si>
    <t>민창기</t>
  </si>
  <si>
    <r>
      <rPr>
        <sz val="12"/>
        <color theme="1"/>
        <rFont val="Noto Sans CJK SC"/>
        <family val="2"/>
      </rPr>
      <t xml:space="preserve">병실배정 </t>
    </r>
    <r>
      <rPr>
        <sz val="12"/>
        <color theme="1"/>
        <rFont val="맑은 고딕"/>
        <family val="2"/>
        <charset val="129"/>
      </rPr>
      <t>agent</t>
    </r>
  </si>
  <si>
    <t>병실별 수익 기반도 아이디어</t>
  </si>
  <si>
    <t>중</t>
  </si>
  <si>
    <t>박실비아</t>
  </si>
  <si>
    <r>
      <rPr>
        <sz val="12"/>
        <color theme="1"/>
        <rFont val="맑은 고딕"/>
        <family val="2"/>
        <charset val="129"/>
      </rPr>
      <t xml:space="preserve">nU </t>
    </r>
    <r>
      <rPr>
        <sz val="12"/>
        <color theme="1"/>
        <rFont val="Noto Sans CJK SC"/>
        <family val="2"/>
      </rPr>
      <t xml:space="preserve">캡처화면 </t>
    </r>
    <r>
      <rPr>
        <sz val="12"/>
        <color theme="1"/>
        <rFont val="맑은 고딕"/>
        <family val="2"/>
        <charset val="129"/>
      </rPr>
      <t>(</t>
    </r>
    <r>
      <rPr>
        <sz val="12"/>
        <color theme="1"/>
        <rFont val="Noto Sans CJK SC"/>
        <family val="2"/>
      </rPr>
      <t>기존의 엑셀 기반이 아닌 이미지 파일로</t>
    </r>
    <r>
      <rPr>
        <sz val="12"/>
        <color theme="1"/>
        <rFont val="맑은 고딕"/>
        <family val="2"/>
        <charset val="129"/>
      </rPr>
      <t xml:space="preserve">) </t>
    </r>
    <r>
      <rPr>
        <sz val="12"/>
        <color theme="1"/>
        <rFont val="Noto Sans CJK SC"/>
        <family val="2"/>
      </rPr>
      <t xml:space="preserve">인식을 통한 
</t>
    </r>
    <r>
      <rPr>
        <sz val="12"/>
        <color theme="1"/>
        <rFont val="맑은 고딕"/>
        <family val="2"/>
        <charset val="129"/>
      </rPr>
      <t xml:space="preserve">response </t>
    </r>
    <r>
      <rPr>
        <sz val="12"/>
        <color theme="1"/>
        <rFont val="Noto Sans CJK SC"/>
        <family val="2"/>
      </rPr>
      <t>및 기타 분석</t>
    </r>
  </si>
  <si>
    <r>
      <rPr>
        <sz val="12"/>
        <color theme="1"/>
        <rFont val="맑은 고딕"/>
        <family val="2"/>
        <charset val="129"/>
      </rPr>
      <t xml:space="preserve">nU lab </t>
    </r>
    <r>
      <rPr>
        <sz val="12"/>
        <color theme="1"/>
        <rFont val="Noto Sans CJK SC"/>
        <family val="2"/>
      </rPr>
      <t>결과</t>
    </r>
    <r>
      <rPr>
        <sz val="12"/>
        <color theme="1"/>
        <rFont val="맑은 고딕"/>
        <family val="2"/>
        <charset val="129"/>
      </rPr>
      <t>, CBC</t>
    </r>
  </si>
  <si>
    <t>상</t>
  </si>
  <si>
    <r>
      <rPr>
        <sz val="12"/>
        <color theme="1"/>
        <rFont val="맑은 고딕"/>
        <family val="2"/>
        <charset val="129"/>
      </rPr>
      <t xml:space="preserve">MDS HMA response </t>
    </r>
    <r>
      <rPr>
        <sz val="12"/>
        <color theme="1"/>
        <rFont val="Noto Sans CJK SC"/>
        <family val="2"/>
      </rPr>
      <t xml:space="preserve">평가 및 각종 </t>
    </r>
    <r>
      <rPr>
        <sz val="12"/>
        <color theme="1"/>
        <rFont val="맑은 고딕"/>
        <family val="2"/>
        <charset val="129"/>
      </rPr>
      <t xml:space="preserve">scoring </t>
    </r>
    <r>
      <rPr>
        <sz val="12"/>
        <color theme="1"/>
        <rFont val="Noto Sans CJK SC"/>
        <family val="2"/>
      </rPr>
      <t xml:space="preserve">계산 </t>
    </r>
    <r>
      <rPr>
        <sz val="12"/>
        <color theme="1"/>
        <rFont val="맑은 고딕"/>
        <family val="2"/>
        <charset val="129"/>
      </rPr>
      <t>agent</t>
    </r>
  </si>
  <si>
    <r>
      <rPr>
        <sz val="12"/>
        <color theme="1"/>
        <rFont val="맑은 고딕"/>
        <family val="2"/>
        <charset val="129"/>
      </rPr>
      <t xml:space="preserve">nU </t>
    </r>
    <r>
      <rPr>
        <sz val="12"/>
        <color theme="1"/>
        <rFont val="Noto Sans CJK SC"/>
        <family val="2"/>
      </rPr>
      <t>레지스트리</t>
    </r>
    <r>
      <rPr>
        <sz val="12"/>
        <color theme="1"/>
        <rFont val="맑은 고딕"/>
        <family val="2"/>
        <charset val="129"/>
      </rPr>
      <t xml:space="preserve">, nU </t>
    </r>
    <r>
      <rPr>
        <sz val="12"/>
        <color theme="1"/>
        <rFont val="Noto Sans CJK SC"/>
        <family val="2"/>
      </rPr>
      <t>수혈판</t>
    </r>
    <r>
      <rPr>
        <sz val="12"/>
        <color theme="1"/>
        <rFont val="맑은 고딕"/>
        <family val="2"/>
        <charset val="129"/>
      </rPr>
      <t>, CBC</t>
    </r>
  </si>
  <si>
    <r>
      <rPr>
        <sz val="12"/>
        <color theme="1"/>
        <rFont val="맑은 고딕"/>
        <family val="2"/>
        <charset val="129"/>
      </rPr>
      <t xml:space="preserve">4. </t>
    </r>
    <r>
      <rPr>
        <sz val="12"/>
        <color theme="1"/>
        <rFont val="Noto Sans CJK SC"/>
        <family val="2"/>
      </rPr>
      <t>연구</t>
    </r>
  </si>
  <si>
    <t>중하</t>
  </si>
  <si>
    <r>
      <rPr>
        <sz val="12"/>
        <color theme="1"/>
        <rFont val="맑은 고딕"/>
        <family val="2"/>
        <charset val="129"/>
      </rPr>
      <t>MPN registry set up (MPN</t>
    </r>
    <r>
      <rPr>
        <sz val="12"/>
        <color theme="1"/>
        <rFont val="Noto Sans CJK SC"/>
        <family val="2"/>
      </rPr>
      <t xml:space="preserve">은 정말 </t>
    </r>
    <r>
      <rPr>
        <sz val="12"/>
        <color theme="1"/>
        <rFont val="맑은 고딕"/>
        <family val="2"/>
        <charset val="129"/>
      </rPr>
      <t>registry</t>
    </r>
    <r>
      <rPr>
        <sz val="12"/>
        <color theme="1"/>
        <rFont val="Noto Sans CJK SC"/>
        <family val="2"/>
      </rPr>
      <t>가 현재 없기 떄문에</t>
    </r>
    <r>
      <rPr>
        <sz val="12"/>
        <color theme="1"/>
        <rFont val="맑은 고딕"/>
        <family val="2"/>
        <charset val="129"/>
      </rPr>
      <t>)</t>
    </r>
  </si>
  <si>
    <r>
      <rPr>
        <sz val="12"/>
        <color theme="1"/>
        <rFont val="Noto Sans CJK SC"/>
        <family val="2"/>
      </rPr>
      <t xml:space="preserve">혈액학 주요 논문 모니터링 및 요약 </t>
    </r>
    <r>
      <rPr>
        <sz val="12"/>
        <color theme="1"/>
        <rFont val="맑은 고딕"/>
        <family val="2"/>
        <charset val="129"/>
      </rPr>
      <t>agent (Blood, Leukemia</t>
    </r>
    <r>
      <rPr>
        <sz val="12"/>
        <color theme="1"/>
        <rFont val="Noto Sans CJK SC"/>
        <family val="2"/>
      </rPr>
      <t>와 같은 
주요 학술지에 게재되는 최신 논문들을 자동 수집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 xml:space="preserve">분야별로 주요 
논문을 선별하여 핵심 결과 및 임상적 의의를 요약 및 제공하는 </t>
    </r>
    <r>
      <rPr>
        <sz val="12"/>
        <color theme="1"/>
        <rFont val="맑은 고딕"/>
        <family val="2"/>
        <charset val="129"/>
      </rPr>
      <t>tool)</t>
    </r>
  </si>
  <si>
    <t>복지나</t>
  </si>
  <si>
    <r>
      <rPr>
        <sz val="12"/>
        <color theme="1"/>
        <rFont val="Noto Sans CJK SC"/>
        <family val="2"/>
      </rPr>
      <t xml:space="preserve">주사실 혼잡도 대시보드 </t>
    </r>
    <r>
      <rPr>
        <sz val="12"/>
        <color theme="1"/>
        <rFont val="맑은 고딕"/>
        <family val="2"/>
        <charset val="129"/>
      </rPr>
      <t xml:space="preserve">:
</t>
    </r>
    <r>
      <rPr>
        <sz val="12"/>
        <color theme="1"/>
        <rFont val="Noto Sans CJK SC"/>
        <family val="2"/>
      </rPr>
      <t xml:space="preserve">주사실 시간대별 접수 환자 수
입실하여 치료중인 시간대별 환자 수 
주사실 </t>
    </r>
    <r>
      <rPr>
        <sz val="12"/>
        <color theme="1"/>
        <rFont val="맑은 고딕"/>
        <family val="2"/>
        <charset val="129"/>
      </rPr>
      <t>53</t>
    </r>
    <r>
      <rPr>
        <sz val="12"/>
        <color theme="1"/>
        <rFont val="Noto Sans CJK SC"/>
        <family val="2"/>
      </rPr>
      <t>병상 기준 시간대별 점유율 
주사실 시간대별 일실 대기 환자수
주사실 시간대별 혼잡도 히트맵</t>
    </r>
  </si>
  <si>
    <r>
      <rPr>
        <sz val="12"/>
        <color theme="1"/>
        <rFont val="Noto Sans CJK SC"/>
        <family val="2"/>
      </rPr>
      <t>혈액병원주사실 진행 현황</t>
    </r>
    <r>
      <rPr>
        <sz val="12"/>
        <color theme="1"/>
        <rFont val="맑은 고딕"/>
        <family val="2"/>
        <charset val="129"/>
      </rPr>
      <t>[FMMNI05032]
(</t>
    </r>
    <r>
      <rPr>
        <sz val="12"/>
        <color theme="1"/>
        <rFont val="Noto Sans CJK SC"/>
        <family val="2"/>
      </rPr>
      <t>입실대기가 가장 적은 날을 기준으로 특정일을 시간대별로 비교 분석</t>
    </r>
    <r>
      <rPr>
        <sz val="12"/>
        <color theme="1"/>
        <rFont val="맑은 고딕"/>
        <family val="2"/>
        <charset val="129"/>
      </rPr>
      <t>)</t>
    </r>
  </si>
  <si>
    <r>
      <rPr>
        <sz val="12"/>
        <color theme="1"/>
        <rFont val="Noto Sans CJK SC"/>
        <family val="2"/>
      </rPr>
      <t xml:space="preserve">입실대기분석 </t>
    </r>
    <r>
      <rPr>
        <sz val="12"/>
        <color theme="1"/>
        <rFont val="맑은 고딕"/>
        <family val="2"/>
        <charset val="129"/>
      </rPr>
      <t xml:space="preserve">: (1) </t>
    </r>
    <r>
      <rPr>
        <sz val="12"/>
        <color theme="1"/>
        <rFont val="Noto Sans CJK SC"/>
        <family val="2"/>
      </rPr>
      <t xml:space="preserve">주사실 </t>
    </r>
    <r>
      <rPr>
        <sz val="12"/>
        <color theme="1"/>
        <rFont val="맑은 고딕"/>
        <family val="2"/>
        <charset val="129"/>
      </rPr>
      <t>8</t>
    </r>
    <r>
      <rPr>
        <sz val="12"/>
        <color theme="1"/>
        <rFont val="Noto Sans CJK SC"/>
        <family val="2"/>
      </rPr>
      <t xml:space="preserve">시 입실 전 오픈런 환자수
</t>
    </r>
    <r>
      <rPr>
        <sz val="12"/>
        <color theme="1"/>
        <rFont val="맑은 고딕"/>
        <family val="2"/>
        <charset val="129"/>
      </rPr>
      <t>(2)</t>
    </r>
    <r>
      <rPr>
        <sz val="12"/>
        <color theme="1"/>
        <rFont val="Noto Sans CJK SC"/>
        <family val="2"/>
      </rPr>
      <t xml:space="preserve">오픈런 제외 </t>
    </r>
    <r>
      <rPr>
        <sz val="12"/>
        <color theme="1"/>
        <rFont val="맑은 고딕"/>
        <family val="2"/>
        <charset val="129"/>
      </rPr>
      <t>30</t>
    </r>
    <r>
      <rPr>
        <sz val="12"/>
        <color theme="1"/>
        <rFont val="Noto Sans CJK SC"/>
        <family val="2"/>
      </rPr>
      <t xml:space="preserve">분 이상 입실대기 환자수
</t>
    </r>
    <r>
      <rPr>
        <sz val="12"/>
        <color theme="1"/>
        <rFont val="맑은 고딕"/>
        <family val="2"/>
        <charset val="129"/>
      </rPr>
      <t>(3)</t>
    </r>
    <r>
      <rPr>
        <sz val="12"/>
        <color theme="1"/>
        <rFont val="Noto Sans CJK SC"/>
        <family val="2"/>
      </rPr>
      <t xml:space="preserve">오픈런 제외 </t>
    </r>
    <r>
      <rPr>
        <sz val="12"/>
        <color theme="1"/>
        <rFont val="맑은 고딕"/>
        <family val="2"/>
        <charset val="129"/>
      </rPr>
      <t>60</t>
    </r>
    <r>
      <rPr>
        <sz val="12"/>
        <color theme="1"/>
        <rFont val="Noto Sans CJK SC"/>
        <family val="2"/>
      </rPr>
      <t xml:space="preserve">분 이상 입실대기 환자수
</t>
    </r>
    <r>
      <rPr>
        <sz val="12"/>
        <color theme="1"/>
        <rFont val="맑은 고딕"/>
        <family val="2"/>
        <charset val="129"/>
      </rPr>
      <t>(4)</t>
    </r>
    <r>
      <rPr>
        <sz val="12"/>
        <color theme="1"/>
        <rFont val="Noto Sans CJK SC"/>
        <family val="2"/>
      </rPr>
      <t xml:space="preserve">오픈런을 제외한 환자들 중 </t>
    </r>
    <r>
      <rPr>
        <sz val="12"/>
        <color theme="1"/>
        <rFont val="맑은 고딕"/>
        <family val="2"/>
        <charset val="129"/>
      </rPr>
      <t>30</t>
    </r>
    <r>
      <rPr>
        <sz val="12"/>
        <color theme="1"/>
        <rFont val="Noto Sans CJK SC"/>
        <family val="2"/>
      </rPr>
      <t xml:space="preserve">분이상 입실대기한 환자들의 평균 대기시간
</t>
    </r>
    <r>
      <rPr>
        <sz val="12"/>
        <color theme="1"/>
        <rFont val="맑은 고딕"/>
        <family val="2"/>
        <charset val="129"/>
      </rPr>
      <t>(5)</t>
    </r>
    <r>
      <rPr>
        <sz val="12"/>
        <color theme="1"/>
        <rFont val="Noto Sans CJK SC"/>
        <family val="2"/>
      </rPr>
      <t xml:space="preserve">오픈런을 포함한 </t>
    </r>
    <r>
      <rPr>
        <sz val="12"/>
        <color theme="1"/>
        <rFont val="맑은 고딕"/>
        <family val="2"/>
        <charset val="129"/>
      </rPr>
      <t>30</t>
    </r>
    <r>
      <rPr>
        <sz val="12"/>
        <color theme="1"/>
        <rFont val="Noto Sans CJK SC"/>
        <family val="2"/>
      </rPr>
      <t xml:space="preserve">분이상 대기환자수
</t>
    </r>
    <r>
      <rPr>
        <sz val="12"/>
        <color theme="1"/>
        <rFont val="맑은 고딕"/>
        <family val="2"/>
        <charset val="129"/>
      </rPr>
      <t>(6)</t>
    </r>
    <r>
      <rPr>
        <sz val="12"/>
        <color theme="1"/>
        <rFont val="Noto Sans CJK SC"/>
        <family val="2"/>
      </rPr>
      <t xml:space="preserve">오픈런 포함한 </t>
    </r>
    <r>
      <rPr>
        <sz val="12"/>
        <color theme="1"/>
        <rFont val="맑은 고딕"/>
        <family val="2"/>
        <charset val="129"/>
      </rPr>
      <t>60</t>
    </r>
    <r>
      <rPr>
        <sz val="12"/>
        <color theme="1"/>
        <rFont val="Noto Sans CJK SC"/>
        <family val="2"/>
      </rPr>
      <t xml:space="preserve">분이상 대기환자수
</t>
    </r>
    <r>
      <rPr>
        <sz val="12"/>
        <color theme="1"/>
        <rFont val="맑은 고딕"/>
        <family val="2"/>
        <charset val="129"/>
      </rPr>
      <t>(7)</t>
    </r>
    <r>
      <rPr>
        <sz val="12"/>
        <color theme="1"/>
        <rFont val="Noto Sans CJK SC"/>
        <family val="2"/>
      </rPr>
      <t xml:space="preserve">오픈런 포함한 </t>
    </r>
    <r>
      <rPr>
        <sz val="12"/>
        <color theme="1"/>
        <rFont val="맑은 고딕"/>
        <family val="2"/>
        <charset val="129"/>
      </rPr>
      <t>30</t>
    </r>
    <r>
      <rPr>
        <sz val="12"/>
        <color theme="1"/>
        <rFont val="Noto Sans CJK SC"/>
        <family val="2"/>
      </rPr>
      <t>분이상 대기환자들의 평균 대기시간</t>
    </r>
  </si>
  <si>
    <r>
      <rPr>
        <sz val="12"/>
        <color theme="1"/>
        <rFont val="Noto Sans CJK SC"/>
        <family val="2"/>
      </rPr>
      <t>혈액병원주사실 진행 현황</t>
    </r>
    <r>
      <rPr>
        <sz val="12"/>
        <color theme="1"/>
        <rFont val="맑은 고딕"/>
        <family val="2"/>
        <charset val="129"/>
      </rPr>
      <t>[FMMNI05032]</t>
    </r>
  </si>
  <si>
    <r>
      <rPr>
        <sz val="12"/>
        <color theme="1"/>
        <rFont val="맑은 고딕"/>
        <family val="2"/>
        <charset val="129"/>
      </rPr>
      <t xml:space="preserve">1, 2 </t>
    </r>
    <r>
      <rPr>
        <sz val="12"/>
        <color theme="1"/>
        <rFont val="Noto Sans CJK SC"/>
        <family val="2"/>
      </rPr>
      <t>주사실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>골수검사실 각각의 일별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>월별
총 입실환자수와 일평균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>세 부서 합</t>
    </r>
  </si>
  <si>
    <r>
      <rPr>
        <sz val="12"/>
        <color theme="1"/>
        <rFont val="Noto Sans CJK SC"/>
        <family val="2"/>
      </rPr>
      <t>혈액병원주사실 월별 업무현황</t>
    </r>
    <r>
      <rPr>
        <sz val="12"/>
        <color theme="1"/>
        <rFont val="맑은 고딕"/>
        <family val="2"/>
        <charset val="129"/>
      </rPr>
      <t>[FMSNW00220]</t>
    </r>
  </si>
  <si>
    <t>하</t>
  </si>
  <si>
    <r>
      <rPr>
        <sz val="12"/>
        <color theme="1"/>
        <rFont val="Noto Sans CJK SC"/>
        <family val="2"/>
      </rPr>
      <t>제</t>
    </r>
    <r>
      <rPr>
        <sz val="12"/>
        <color theme="1"/>
        <rFont val="맑은 고딕"/>
        <family val="2"/>
        <charset val="129"/>
      </rPr>
      <t>1</t>
    </r>
    <r>
      <rPr>
        <sz val="12"/>
        <color theme="1"/>
        <rFont val="Noto Sans CJK SC"/>
        <family val="2"/>
      </rPr>
      <t>주사실 입실환자의 수혈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>소독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>프로토콜항암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>단순항암</t>
    </r>
    <r>
      <rPr>
        <sz val="12"/>
        <color theme="1"/>
        <rFont val="맑은 고딕"/>
        <family val="2"/>
        <charset val="129"/>
      </rPr>
      <t xml:space="preserve">, IVGV, 
</t>
    </r>
    <r>
      <rPr>
        <sz val="12"/>
        <color theme="1"/>
        <rFont val="Noto Sans CJK SC"/>
        <family val="2"/>
      </rPr>
      <t>일반주사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>임상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>프로토콜과 임상의 합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 xml:space="preserve">프로토콜과 임상과 </t>
    </r>
    <r>
      <rPr>
        <sz val="12"/>
        <color theme="1"/>
        <rFont val="맑은 고딕"/>
        <family val="2"/>
        <charset val="129"/>
      </rPr>
      <t>IVGV</t>
    </r>
    <r>
      <rPr>
        <sz val="12"/>
        <color theme="1"/>
        <rFont val="Noto Sans CJK SC"/>
        <family val="2"/>
      </rPr>
      <t>의 
합을 일별 수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>월별 총 합과 일평균 수</t>
    </r>
  </si>
  <si>
    <r>
      <rPr>
        <sz val="12"/>
        <color theme="1"/>
        <rFont val="Noto Sans CJK SC"/>
        <family val="2"/>
      </rPr>
      <t>액병원주사실 월별 업무현황</t>
    </r>
    <r>
      <rPr>
        <sz val="12"/>
        <color theme="1"/>
        <rFont val="맑은 고딕"/>
        <family val="2"/>
        <charset val="129"/>
      </rPr>
      <t>[FMSNW00220]</t>
    </r>
  </si>
  <si>
    <r>
      <rPr>
        <sz val="12"/>
        <color theme="1"/>
        <rFont val="Noto Sans CJK SC"/>
        <family val="2"/>
      </rPr>
      <t>골수검사실 입실환자 중 소아고도진정환자 수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>성인 골수검사 환자 수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>응급골수검사 시행환자 수</t>
    </r>
    <r>
      <rPr>
        <sz val="12"/>
        <color theme="1"/>
        <rFont val="맑은 고딕"/>
        <family val="2"/>
        <charset val="129"/>
      </rPr>
      <t xml:space="preserve">, one stop </t>
    </r>
    <r>
      <rPr>
        <sz val="12"/>
        <color theme="1"/>
        <rFont val="Noto Sans CJK SC"/>
        <family val="2"/>
      </rPr>
      <t>검사 시행환자 수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>진행취소 환자 수의 일별 수</t>
    </r>
    <r>
      <rPr>
        <sz val="12"/>
        <color theme="1"/>
        <rFont val="맑은 고딕"/>
        <family val="2"/>
        <charset val="129"/>
      </rPr>
      <t xml:space="preserve">, </t>
    </r>
    <r>
      <rPr>
        <sz val="12"/>
        <color theme="1"/>
        <rFont val="Noto Sans CJK SC"/>
        <family val="2"/>
      </rPr>
      <t>월별 총 합과 일평균 수</t>
    </r>
  </si>
  <si>
    <r>
      <rPr>
        <sz val="12"/>
        <color theme="1"/>
        <rFont val="Noto Sans CJK SC"/>
        <family val="2"/>
      </rPr>
      <t>골수검사실 진행 현황</t>
    </r>
    <r>
      <rPr>
        <sz val="12"/>
        <color theme="1"/>
        <rFont val="맑은 고딕"/>
        <family val="2"/>
        <charset val="129"/>
      </rPr>
      <t>[FMMNI05032]</t>
    </r>
  </si>
  <si>
    <r>
      <rPr>
        <sz val="12"/>
        <color theme="1"/>
        <rFont val="Noto Sans CJK SC"/>
        <family val="2"/>
      </rPr>
      <t xml:space="preserve">주사실 입원 환자 중 </t>
    </r>
    <r>
      <rPr>
        <sz val="12"/>
        <color theme="1"/>
        <rFont val="맑은 고딕"/>
        <family val="2"/>
        <charset val="129"/>
      </rPr>
      <t>8</t>
    </r>
    <r>
      <rPr>
        <sz val="12"/>
        <color theme="1"/>
        <rFont val="Noto Sans CJK SC"/>
        <family val="2"/>
      </rPr>
      <t>세미만 소아중증환자 수 향상을 위한 모니터링</t>
    </r>
  </si>
  <si>
    <t>은방희</t>
  </si>
  <si>
    <r>
      <rPr>
        <sz val="12"/>
        <color theme="1"/>
        <rFont val="Noto Sans CJK SC"/>
        <family val="2"/>
      </rPr>
      <t xml:space="preserve">혈액병원 수익 현황 </t>
    </r>
    <r>
      <rPr>
        <sz val="12"/>
        <color theme="1"/>
        <rFont val="맑은 고딕"/>
        <family val="3"/>
        <charset val="129"/>
      </rPr>
      <t>(</t>
    </r>
    <r>
      <rPr>
        <sz val="12"/>
        <color theme="1"/>
        <rFont val="Noto Sans CJK SC"/>
        <family val="2"/>
      </rPr>
      <t>전체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 xml:space="preserve">질환별 </t>
    </r>
    <r>
      <rPr>
        <sz val="12"/>
        <color theme="1"/>
        <rFont val="맑은 고딕"/>
        <family val="3"/>
        <charset val="129"/>
      </rPr>
      <t>/</t>
    </r>
    <r>
      <rPr>
        <sz val="12"/>
        <color theme="1"/>
        <rFont val="Noto Sans CJK SC"/>
        <family val="2"/>
      </rPr>
      <t xml:space="preserve">교원별 환자수 및 수익 </t>
    </r>
    <r>
      <rPr>
        <sz val="12"/>
        <color theme="1"/>
        <rFont val="맑은 고딕"/>
        <family val="3"/>
        <charset val="129"/>
      </rPr>
      <t>)</t>
    </r>
  </si>
  <si>
    <t>혈액병원 통계 프로그램</t>
  </si>
  <si>
    <r>
      <rPr>
        <sz val="12"/>
        <color theme="1"/>
        <rFont val="Noto Sans CJK SC"/>
        <family val="2"/>
      </rPr>
      <t>질환별</t>
    </r>
    <r>
      <rPr>
        <sz val="12"/>
        <color theme="1"/>
        <rFont val="맑은 고딕"/>
        <family val="3"/>
        <charset val="129"/>
      </rPr>
      <t>/</t>
    </r>
    <r>
      <rPr>
        <sz val="12"/>
        <color theme="1"/>
        <rFont val="Noto Sans CJK SC"/>
        <family val="2"/>
      </rPr>
      <t>교원별 병초</t>
    </r>
    <r>
      <rPr>
        <sz val="12"/>
        <color theme="1"/>
        <rFont val="맑은 고딕"/>
        <family val="3"/>
        <charset val="129"/>
      </rPr>
      <t>,</t>
    </r>
    <r>
      <rPr>
        <sz val="12"/>
        <color theme="1"/>
        <rFont val="Noto Sans CJK SC"/>
        <family val="2"/>
      </rPr>
      <t>과초환자수</t>
    </r>
  </si>
  <si>
    <r>
      <rPr>
        <sz val="12"/>
        <color theme="1"/>
        <rFont val="Noto Sans CJK SC"/>
        <family val="2"/>
      </rPr>
      <t>입원대기자 현황</t>
    </r>
    <r>
      <rPr>
        <sz val="12"/>
        <color theme="1"/>
        <rFont val="맑은 고딕"/>
        <family val="3"/>
        <charset val="129"/>
      </rPr>
      <t>(</t>
    </r>
    <r>
      <rPr>
        <sz val="12"/>
        <color theme="1"/>
        <rFont val="Noto Sans CJK SC"/>
        <family val="2"/>
      </rPr>
      <t>교원별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질환별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대기일수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대기사유</t>
    </r>
    <r>
      <rPr>
        <sz val="12"/>
        <color theme="1"/>
        <rFont val="맑은 고딕"/>
        <family val="3"/>
        <charset val="129"/>
      </rPr>
      <t>)</t>
    </r>
  </si>
  <si>
    <t>원무팀 입원예약조회</t>
  </si>
  <si>
    <r>
      <rPr>
        <sz val="12"/>
        <color theme="1"/>
        <rFont val="Noto Sans CJK SC"/>
        <family val="2"/>
      </rPr>
      <t xml:space="preserve">입원환자 수 </t>
    </r>
    <r>
      <rPr>
        <sz val="12"/>
        <color theme="1"/>
        <rFont val="맑은 고딕"/>
        <family val="3"/>
        <charset val="129"/>
      </rPr>
      <t>(</t>
    </r>
    <r>
      <rPr>
        <sz val="12"/>
        <color theme="1"/>
        <rFont val="Noto Sans CJK SC"/>
        <family val="2"/>
      </rPr>
      <t>교원별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질환별</t>
    </r>
    <r>
      <rPr>
        <sz val="12"/>
        <color theme="1"/>
        <rFont val="맑은 고딕"/>
        <family val="3"/>
        <charset val="129"/>
      </rPr>
      <t>)</t>
    </r>
  </si>
  <si>
    <r>
      <rPr>
        <sz val="12"/>
        <color theme="1"/>
        <rFont val="Noto Sans CJK SC"/>
        <family val="2"/>
      </rPr>
      <t>재원코디네이터실 프로그램</t>
    </r>
    <r>
      <rPr>
        <sz val="12"/>
        <color theme="1"/>
        <rFont val="맑은 고딕"/>
        <family val="3"/>
        <charset val="129"/>
      </rPr>
      <t>(HIS)</t>
    </r>
  </si>
  <si>
    <t>평균재원일수</t>
  </si>
  <si>
    <r>
      <rPr>
        <sz val="12"/>
        <color theme="1"/>
        <rFont val="Noto Sans CJK SC"/>
        <family val="2"/>
      </rPr>
      <t xml:space="preserve">장기재원환자수 </t>
    </r>
    <r>
      <rPr>
        <sz val="12"/>
        <color theme="1"/>
        <rFont val="맑은 고딕"/>
        <family val="3"/>
        <charset val="129"/>
      </rPr>
      <t>(</t>
    </r>
    <r>
      <rPr>
        <sz val="12"/>
        <color theme="1"/>
        <rFont val="Noto Sans CJK SC"/>
        <family val="2"/>
      </rPr>
      <t>교원별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질환별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치료별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교원별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재원일</t>
    </r>
    <r>
      <rPr>
        <sz val="12"/>
        <color theme="1"/>
        <rFont val="맑은 고딕"/>
        <family val="3"/>
        <charset val="129"/>
      </rPr>
      <t>)</t>
    </r>
  </si>
  <si>
    <r>
      <rPr>
        <sz val="12"/>
        <color theme="1"/>
        <rFont val="Noto Sans CJK SC"/>
        <family val="2"/>
      </rPr>
      <t>진료</t>
    </r>
    <r>
      <rPr>
        <sz val="12"/>
        <color theme="1"/>
        <rFont val="맑은 고딕"/>
        <family val="3"/>
        <charset val="129"/>
      </rPr>
      <t>(HIS)</t>
    </r>
  </si>
  <si>
    <r>
      <rPr>
        <sz val="12"/>
        <color theme="1"/>
        <rFont val="Noto Sans CJK SC"/>
        <family val="2"/>
      </rPr>
      <t xml:space="preserve">조혈모세포이식건수 </t>
    </r>
    <r>
      <rPr>
        <sz val="12"/>
        <color theme="1"/>
        <rFont val="맑은 고딕"/>
        <family val="3"/>
        <charset val="129"/>
      </rPr>
      <t>(</t>
    </r>
    <r>
      <rPr>
        <sz val="12"/>
        <color theme="1"/>
        <rFont val="Noto Sans CJK SC"/>
        <family val="2"/>
      </rPr>
      <t>교원별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질환별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이식종류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비용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재원일</t>
    </r>
    <r>
      <rPr>
        <sz val="12"/>
        <color theme="1"/>
        <rFont val="맑은 고딕"/>
        <family val="3"/>
        <charset val="129"/>
      </rPr>
      <t>)</t>
    </r>
  </si>
  <si>
    <r>
      <rPr>
        <sz val="12"/>
        <color theme="1"/>
        <rFont val="Noto Sans CJK SC"/>
        <family val="2"/>
      </rPr>
      <t>코디네이터실 프로그램</t>
    </r>
    <r>
      <rPr>
        <sz val="12"/>
        <color theme="1"/>
        <rFont val="맑은 고딕"/>
        <family val="3"/>
        <charset val="129"/>
      </rPr>
      <t xml:space="preserve">(HIS)
</t>
    </r>
    <r>
      <rPr>
        <sz val="12"/>
        <color theme="1"/>
        <rFont val="Noto Sans CJK SC"/>
        <family val="2"/>
      </rPr>
      <t>원무팀 입원진료비 상세내역
원무팀 입원</t>
    </r>
    <r>
      <rPr>
        <sz val="12"/>
        <color theme="1"/>
        <rFont val="맑은 고딕"/>
        <family val="3"/>
        <charset val="129"/>
      </rPr>
      <t>/</t>
    </r>
    <r>
      <rPr>
        <sz val="12"/>
        <color theme="1"/>
        <rFont val="Noto Sans CJK SC"/>
        <family val="2"/>
      </rPr>
      <t>재원</t>
    </r>
    <r>
      <rPr>
        <sz val="12"/>
        <color theme="1"/>
        <rFont val="맑은 고딕"/>
        <family val="3"/>
        <charset val="129"/>
      </rPr>
      <t>/</t>
    </r>
    <r>
      <rPr>
        <sz val="12"/>
        <color theme="1"/>
        <rFont val="Noto Sans CJK SC"/>
        <family val="2"/>
      </rPr>
      <t xml:space="preserve">퇴원 </t>
    </r>
  </si>
  <si>
    <r>
      <rPr>
        <sz val="12"/>
        <color theme="1"/>
        <rFont val="Noto Sans CJK SC"/>
        <family val="2"/>
      </rPr>
      <t xml:space="preserve">항암치료 현황 </t>
    </r>
    <r>
      <rPr>
        <sz val="12"/>
        <color theme="1"/>
        <rFont val="맑은 고딕"/>
        <family val="3"/>
        <charset val="129"/>
      </rPr>
      <t>(</t>
    </r>
    <r>
      <rPr>
        <sz val="12"/>
        <color theme="1"/>
        <rFont val="Noto Sans CJK SC"/>
        <family val="2"/>
      </rPr>
      <t>교원별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질환별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레지멘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비용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재원일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>입원</t>
    </r>
    <r>
      <rPr>
        <sz val="12"/>
        <color theme="1"/>
        <rFont val="맑은 고딕"/>
        <family val="3"/>
        <charset val="129"/>
      </rPr>
      <t>/</t>
    </r>
    <r>
      <rPr>
        <sz val="12"/>
        <color theme="1"/>
        <rFont val="Noto Sans CJK SC"/>
        <family val="2"/>
      </rPr>
      <t>외래</t>
    </r>
    <r>
      <rPr>
        <sz val="12"/>
        <color theme="1"/>
        <rFont val="맑은 고딕"/>
        <family val="3"/>
        <charset val="129"/>
      </rPr>
      <t>)</t>
    </r>
  </si>
  <si>
    <r>
      <rPr>
        <sz val="12"/>
        <color rgb="FF000000"/>
        <rFont val="Noto Sans CJK SC"/>
        <family val="2"/>
      </rPr>
      <t xml:space="preserve">진료 </t>
    </r>
    <r>
      <rPr>
        <sz val="12"/>
        <color rgb="FF000000"/>
        <rFont val="맑은 고딕"/>
        <family val="3"/>
        <charset val="129"/>
      </rPr>
      <t xml:space="preserve">(HIS) 
</t>
    </r>
    <r>
      <rPr>
        <sz val="12"/>
        <color rgb="FF000000"/>
        <rFont val="Noto Sans CJK SC"/>
        <family val="2"/>
      </rPr>
      <t>원무팀 입원진료비 상세내역
원무팀 입원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Noto Sans CJK SC"/>
        <family val="2"/>
      </rPr>
      <t>재원</t>
    </r>
    <r>
      <rPr>
        <sz val="12"/>
        <color rgb="FF000000"/>
        <rFont val="맑은 고딕"/>
        <family val="3"/>
        <charset val="129"/>
      </rPr>
      <t>/</t>
    </r>
    <r>
      <rPr>
        <sz val="12"/>
        <color rgb="FF000000"/>
        <rFont val="Noto Sans CJK SC"/>
        <family val="2"/>
      </rPr>
      <t xml:space="preserve">퇴원 </t>
    </r>
  </si>
  <si>
    <t>동일 질환 환자군의 교원별 처방 내역 분석</t>
  </si>
  <si>
    <r>
      <rPr>
        <sz val="12"/>
        <color rgb="FF000000"/>
        <rFont val="Noto Sans CJK SC"/>
        <family val="2"/>
      </rPr>
      <t xml:space="preserve">진료 </t>
    </r>
    <r>
      <rPr>
        <sz val="12"/>
        <color rgb="FF000000"/>
        <rFont val="맑은 고딕"/>
        <family val="3"/>
        <charset val="129"/>
      </rPr>
      <t>(HIS)</t>
    </r>
  </si>
  <si>
    <r>
      <rPr>
        <sz val="12"/>
        <color theme="1"/>
        <rFont val="Noto Sans CJK SC"/>
        <family val="2"/>
      </rPr>
      <t>응급실 환자 교원별</t>
    </r>
    <r>
      <rPr>
        <sz val="12"/>
        <color theme="1"/>
        <rFont val="맑은 고딕"/>
        <family val="3"/>
        <charset val="129"/>
      </rPr>
      <t>/</t>
    </r>
    <r>
      <rPr>
        <sz val="12"/>
        <color theme="1"/>
        <rFont val="Noto Sans CJK SC"/>
        <family val="2"/>
      </rPr>
      <t>질환별</t>
    </r>
    <r>
      <rPr>
        <sz val="12"/>
        <color theme="1"/>
        <rFont val="맑은 고딕"/>
        <family val="3"/>
        <charset val="129"/>
      </rPr>
      <t>/</t>
    </r>
    <r>
      <rPr>
        <sz val="12"/>
        <color theme="1"/>
        <rFont val="Noto Sans CJK SC"/>
        <family val="2"/>
      </rPr>
      <t>퇴실구분별 재원일수</t>
    </r>
  </si>
  <si>
    <r>
      <rPr>
        <sz val="12"/>
        <color theme="1"/>
        <rFont val="Noto Sans CJK SC"/>
        <family val="2"/>
      </rPr>
      <t>응급환자대장</t>
    </r>
    <r>
      <rPr>
        <sz val="12"/>
        <color theme="1"/>
        <rFont val="맑은 고딕"/>
        <family val="3"/>
        <charset val="129"/>
      </rPr>
      <t>(HIS)</t>
    </r>
  </si>
  <si>
    <r>
      <rPr>
        <sz val="12"/>
        <color theme="1"/>
        <rFont val="Noto Sans CJK SC"/>
        <family val="2"/>
      </rPr>
      <t xml:space="preserve">혈액병원 환자현황   </t>
    </r>
    <r>
      <rPr>
        <sz val="12"/>
        <color theme="1"/>
        <rFont val="맑은 고딕"/>
        <family val="3"/>
        <charset val="129"/>
      </rPr>
      <t>*</t>
    </r>
    <r>
      <rPr>
        <sz val="12"/>
        <color theme="1"/>
        <rFont val="Noto Sans CJK SC"/>
        <family val="2"/>
      </rPr>
      <t>표</t>
    </r>
    <r>
      <rPr>
        <sz val="12"/>
        <color theme="1"/>
        <rFont val="맑은 고딕"/>
        <family val="3"/>
        <charset val="129"/>
      </rPr>
      <t>1</t>
    </r>
  </si>
  <si>
    <r>
      <rPr>
        <sz val="12"/>
        <color theme="1"/>
        <rFont val="Noto Sans CJK SC"/>
        <family val="2"/>
      </rPr>
      <t>재원코디네이터실 프로그램</t>
    </r>
    <r>
      <rPr>
        <sz val="12"/>
        <color theme="1"/>
        <rFont val="맑은 고딕"/>
        <family val="3"/>
        <charset val="129"/>
      </rPr>
      <t xml:space="preserve">(HIS)
</t>
    </r>
    <r>
      <rPr>
        <sz val="12"/>
        <color theme="1"/>
        <rFont val="Noto Sans CJK SC"/>
        <family val="2"/>
      </rPr>
      <t>혈액병원 교수별 병동별 재원환자현황</t>
    </r>
    <r>
      <rPr>
        <sz val="12"/>
        <color theme="1"/>
        <rFont val="맑은 고딕"/>
        <family val="3"/>
        <charset val="129"/>
      </rPr>
      <t>-</t>
    </r>
    <r>
      <rPr>
        <sz val="12"/>
        <color theme="1"/>
        <rFont val="Noto Sans CJK SC"/>
        <family val="2"/>
      </rPr>
      <t>실데이터기준</t>
    </r>
  </si>
  <si>
    <r>
      <rPr>
        <sz val="12"/>
        <color theme="1"/>
        <rFont val="Noto Sans CJK SC"/>
        <family val="2"/>
      </rPr>
      <t>병동별</t>
    </r>
    <r>
      <rPr>
        <sz val="12"/>
        <color theme="1"/>
        <rFont val="맑은 고딕"/>
        <family val="3"/>
        <charset val="129"/>
      </rPr>
      <t xml:space="preserve">, </t>
    </r>
    <r>
      <rPr>
        <sz val="12"/>
        <color theme="1"/>
        <rFont val="Noto Sans CJK SC"/>
        <family val="2"/>
      </rPr>
      <t xml:space="preserve">교수별 재원환자 현황  </t>
    </r>
    <r>
      <rPr>
        <sz val="12"/>
        <color theme="1"/>
        <rFont val="맑은 고딕"/>
        <family val="3"/>
        <charset val="129"/>
      </rPr>
      <t>*</t>
    </r>
    <r>
      <rPr>
        <sz val="12"/>
        <color theme="1"/>
        <rFont val="Noto Sans CJK SC"/>
        <family val="2"/>
      </rPr>
      <t>표</t>
    </r>
    <r>
      <rPr>
        <sz val="12"/>
        <color theme="1"/>
        <rFont val="맑은 고딕"/>
        <family val="3"/>
        <charset val="129"/>
      </rPr>
      <t>2</t>
    </r>
  </si>
  <si>
    <r>
      <rPr>
        <sz val="12"/>
        <color rgb="FF000000"/>
        <rFont val="맑은 고딕"/>
        <family val="3"/>
        <charset val="129"/>
      </rPr>
      <t xml:space="preserve">CAR-T </t>
    </r>
    <r>
      <rPr>
        <sz val="12"/>
        <color rgb="FF000000"/>
        <rFont val="Noto Sans CJK SC"/>
        <family val="2"/>
      </rPr>
      <t>주입 현황</t>
    </r>
  </si>
  <si>
    <r>
      <rPr>
        <sz val="12"/>
        <color rgb="FF000000"/>
        <rFont val="Noto Sans CJK SC"/>
        <family val="2"/>
      </rPr>
      <t>코디네이터실 프로그램</t>
    </r>
    <r>
      <rPr>
        <sz val="12"/>
        <color rgb="FF000000"/>
        <rFont val="맑은 고딕"/>
        <family val="3"/>
        <charset val="129"/>
      </rPr>
      <t>(HIS)</t>
    </r>
  </si>
  <si>
    <r>
      <rPr>
        <sz val="12"/>
        <color theme="1"/>
        <rFont val="Noto Sans CJK SC"/>
        <family val="2"/>
      </rPr>
      <t xml:space="preserve">혈액병원 홈페이지에 </t>
    </r>
    <r>
      <rPr>
        <sz val="12"/>
        <color theme="1"/>
        <rFont val="맑은 고딕"/>
        <family val="3"/>
        <charset val="129"/>
      </rPr>
      <t>AI</t>
    </r>
    <r>
      <rPr>
        <sz val="12"/>
        <color theme="1"/>
        <rFont val="Noto Sans CJK SC"/>
        <family val="2"/>
      </rPr>
      <t xml:space="preserve">로 환자들 </t>
    </r>
    <r>
      <rPr>
        <sz val="12"/>
        <color theme="1"/>
        <rFont val="맑은 고딕"/>
        <family val="3"/>
        <charset val="129"/>
      </rPr>
      <t xml:space="preserve">Q&amp;A </t>
    </r>
    <r>
      <rPr>
        <sz val="12"/>
        <color theme="1"/>
        <rFont val="Noto Sans CJK SC"/>
        <family val="2"/>
      </rPr>
      <t xml:space="preserve">시행 </t>
    </r>
    <r>
      <rPr>
        <sz val="12"/>
        <color theme="1"/>
        <rFont val="맑은 고딕"/>
        <family val="3"/>
        <charset val="129"/>
      </rPr>
      <t xml:space="preserve">- </t>
    </r>
    <r>
      <rPr>
        <sz val="12"/>
        <color theme="1"/>
        <rFont val="Noto Sans CJK SC"/>
        <family val="2"/>
      </rPr>
      <t>질문 내용 분석</t>
    </r>
  </si>
  <si>
    <r>
      <rPr>
        <b/>
        <sz val="15"/>
        <color rgb="FF7C1D32"/>
        <rFont val="Arial"/>
        <family val="2"/>
      </rPr>
      <t xml:space="preserve">AI agent </t>
    </r>
    <r>
      <rPr>
        <b/>
        <sz val="15"/>
        <color rgb="FF7C1D32"/>
        <rFont val="Noto Sans CJK SC"/>
        <family val="2"/>
      </rPr>
      <t>개발 우선순위 분석</t>
    </r>
  </si>
  <si>
    <t>가중치 →</t>
  </si>
  <si>
    <t>개발용이성</t>
  </si>
  <si>
    <r>
      <rPr>
        <b/>
        <sz val="10"/>
        <color rgb="FF2A2A2E"/>
        <rFont val="Noto Sans CJK SC"/>
        <family val="2"/>
      </rPr>
      <t>환자이득</t>
    </r>
    <r>
      <rPr>
        <b/>
        <sz val="10"/>
        <color rgb="FF2A2A2E"/>
        <rFont val="Arial"/>
        <family val="2"/>
      </rPr>
      <t>·</t>
    </r>
    <r>
      <rPr>
        <b/>
        <sz val="10"/>
        <color rgb="FF2A2A2E"/>
        <rFont val="Noto Sans CJK SC"/>
        <family val="2"/>
      </rPr>
      <t>홍보</t>
    </r>
  </si>
  <si>
    <r>
      <rPr>
        <i/>
        <sz val="9"/>
        <color rgb="FF808080"/>
        <rFont val="Arial"/>
        <family val="2"/>
      </rPr>
      <t xml:space="preserve">(C2·E2 </t>
    </r>
    <r>
      <rPr>
        <i/>
        <sz val="9"/>
        <color rgb="FF808080"/>
        <rFont val="Noto Sans CJK SC"/>
        <family val="2"/>
      </rPr>
      <t xml:space="preserve">변경 시 종합점수 자동 재계산 </t>
    </r>
    <r>
      <rPr>
        <i/>
        <sz val="9"/>
        <color rgb="FF808080"/>
        <rFont val="Arial"/>
        <family val="2"/>
      </rPr>
      <t>· raw</t>
    </r>
    <r>
      <rPr>
        <i/>
        <sz val="9"/>
        <color rgb="FF808080"/>
        <rFont val="Noto Sans CJK SC"/>
        <family val="2"/>
      </rPr>
      <t>데이터는 종합 미포함</t>
    </r>
    <r>
      <rPr>
        <i/>
        <sz val="9"/>
        <color rgb="FF808080"/>
        <rFont val="Arial"/>
        <family val="2"/>
      </rPr>
      <t xml:space="preserve">, </t>
    </r>
    <r>
      <rPr>
        <i/>
        <sz val="9"/>
        <color rgb="FF808080"/>
        <rFont val="Noto Sans CJK SC"/>
        <family val="2"/>
      </rPr>
      <t>별도 게이트로 분류</t>
    </r>
    <r>
      <rPr>
        <i/>
        <sz val="9"/>
        <color rgb="FF808080"/>
        <rFont val="Arial"/>
        <family val="2"/>
      </rPr>
      <t>)</t>
    </r>
  </si>
  <si>
    <t>순위</t>
  </si>
  <si>
    <t>번호</t>
  </si>
  <si>
    <t>제출인</t>
  </si>
  <si>
    <r>
      <rPr>
        <b/>
        <sz val="9"/>
        <color rgb="FFFFFFFF"/>
        <rFont val="Noto Sans CJK SC"/>
        <family val="2"/>
      </rPr>
      <t xml:space="preserve">개발용이성
</t>
    </r>
    <r>
      <rPr>
        <b/>
        <sz val="9"/>
        <color rgb="FFFFFFFF"/>
        <rFont val="Arial"/>
        <family val="2"/>
      </rPr>
      <t>(1-5)</t>
    </r>
  </si>
  <si>
    <r>
      <rPr>
        <b/>
        <sz val="9"/>
        <color rgb="FFFFFFFF"/>
        <rFont val="Arial"/>
        <family val="2"/>
      </rPr>
      <t>raw</t>
    </r>
    <r>
      <rPr>
        <b/>
        <sz val="9"/>
        <color rgb="FFFFFFFF"/>
        <rFont val="Noto Sans CJK SC"/>
        <family val="2"/>
      </rPr>
      <t>데이터
확보</t>
    </r>
    <r>
      <rPr>
        <b/>
        <sz val="9"/>
        <color rgb="FFFFFFFF"/>
        <rFont val="Arial"/>
        <family val="2"/>
      </rPr>
      <t>(1-5)</t>
    </r>
  </si>
  <si>
    <r>
      <rPr>
        <b/>
        <sz val="9"/>
        <color rgb="FFFFFFFF"/>
        <rFont val="Noto Sans CJK SC"/>
        <family val="2"/>
      </rPr>
      <t>환자이득</t>
    </r>
    <r>
      <rPr>
        <b/>
        <sz val="9"/>
        <color rgb="FFFFFFFF"/>
        <rFont val="Arial"/>
        <family val="2"/>
      </rPr>
      <t>·</t>
    </r>
    <r>
      <rPr>
        <b/>
        <sz val="9"/>
        <color rgb="FFFFFFFF"/>
        <rFont val="Noto Sans CJK SC"/>
        <family val="2"/>
      </rPr>
      <t xml:space="preserve">홍보
</t>
    </r>
    <r>
      <rPr>
        <b/>
        <sz val="9"/>
        <color rgb="FFFFFFFF"/>
        <rFont val="Arial"/>
        <family val="2"/>
      </rPr>
      <t>(1-5)</t>
    </r>
  </si>
  <si>
    <r>
      <rPr>
        <b/>
        <sz val="9"/>
        <color rgb="FFFFFFFF"/>
        <rFont val="Noto Sans CJK SC"/>
        <family val="2"/>
      </rPr>
      <t xml:space="preserve">종합점수
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용이성</t>
    </r>
    <r>
      <rPr>
        <b/>
        <sz val="9"/>
        <color rgb="FFFFFFFF"/>
        <rFont val="Arial"/>
        <family val="2"/>
      </rPr>
      <t>+</t>
    </r>
    <r>
      <rPr>
        <b/>
        <sz val="9"/>
        <color rgb="FFFFFFFF"/>
        <rFont val="Noto Sans CJK SC"/>
        <family val="2"/>
      </rPr>
      <t>이득</t>
    </r>
    <r>
      <rPr>
        <b/>
        <sz val="9"/>
        <color rgb="FFFFFFFF"/>
        <rFont val="Arial"/>
        <family val="2"/>
      </rPr>
      <t>)</t>
    </r>
  </si>
  <si>
    <t>사분면</t>
  </si>
  <si>
    <t>근거</t>
  </si>
  <si>
    <t>외래진료</t>
  </si>
  <si>
    <t>주사실 혼잡도 대시보드</t>
  </si>
  <si>
    <r>
      <rPr>
        <b/>
        <sz val="9"/>
        <color rgb="FF2A2A2E"/>
        <rFont val="Noto Sans CJK SC"/>
        <family val="2"/>
      </rPr>
      <t>① 최우선</t>
    </r>
    <r>
      <rPr>
        <b/>
        <sz val="9"/>
        <color rgb="FF2A2A2E"/>
        <rFont val="Arial"/>
        <family val="2"/>
      </rPr>
      <t>(Quick Win)</t>
    </r>
  </si>
  <si>
    <r>
      <rPr>
        <sz val="10"/>
        <color rgb="FF2A2A2E"/>
        <rFont val="Noto Sans CJK SC"/>
        <family val="2"/>
      </rPr>
      <t>정형 리포트 집계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쉬움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대기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혼잡 개선</t>
    </r>
    <r>
      <rPr>
        <sz val="10"/>
        <color rgb="FF2A2A2E"/>
        <rFont val="Arial"/>
        <family val="2"/>
      </rPr>
      <t>=</t>
    </r>
    <r>
      <rPr>
        <sz val="10"/>
        <color rgb="FF2A2A2E"/>
        <rFont val="Noto Sans CJK SC"/>
        <family val="2"/>
      </rPr>
      <t>환자 경험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홍보↑</t>
    </r>
    <r>
      <rPr>
        <sz val="10"/>
        <color rgb="FF2A2A2E"/>
        <rFont val="Arial"/>
        <family val="2"/>
      </rPr>
      <t>.</t>
    </r>
  </si>
  <si>
    <t>주사실 입실 대기시간 분석</t>
  </si>
  <si>
    <r>
      <rPr>
        <sz val="10"/>
        <color rgb="FF2A2A2E"/>
        <rFont val="Noto Sans CJK SC"/>
        <family val="2"/>
      </rPr>
      <t>정형 리포트 집계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쉬움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환자 대기시간 직접 개선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홍보↑</t>
    </r>
    <r>
      <rPr>
        <sz val="10"/>
        <color rgb="FF2A2A2E"/>
        <rFont val="Arial"/>
        <family val="2"/>
      </rPr>
      <t xml:space="preserve">. PI </t>
    </r>
    <r>
      <rPr>
        <sz val="10"/>
        <color rgb="FF2A2A2E"/>
        <rFont val="Noto Sans CJK SC"/>
        <family val="2"/>
      </rPr>
      <t>환자안전 공모전 적합</t>
    </r>
    <r>
      <rPr>
        <sz val="10"/>
        <color rgb="FF2A2A2E"/>
        <rFont val="Arial"/>
        <family val="2"/>
      </rPr>
      <t>.</t>
    </r>
  </si>
  <si>
    <r>
      <rPr>
        <sz val="10"/>
        <color rgb="FF2A2A2E"/>
        <rFont val="Arial"/>
        <family val="2"/>
      </rPr>
      <t>8</t>
    </r>
    <r>
      <rPr>
        <sz val="10"/>
        <color rgb="FF2A2A2E"/>
        <rFont val="Noto Sans CJK SC"/>
        <family val="2"/>
      </rPr>
      <t>세 미만 소아중증환자 모니터링</t>
    </r>
  </si>
  <si>
    <r>
      <rPr>
        <sz val="10"/>
        <color rgb="FF2A2A2E"/>
        <rFont val="Noto Sans CJK SC"/>
        <family val="2"/>
      </rPr>
      <t>집계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모니터링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쉬움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소아중증 안전</t>
    </r>
    <r>
      <rPr>
        <sz val="10"/>
        <color rgb="FF2A2A2E"/>
        <rFont val="Arial"/>
        <family val="2"/>
      </rPr>
      <t>=</t>
    </r>
    <r>
      <rPr>
        <sz val="10"/>
        <color rgb="FF2A2A2E"/>
        <rFont val="Noto Sans CJK SC"/>
        <family val="2"/>
      </rPr>
      <t>환자 이득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홍보↑</t>
    </r>
    <r>
      <rPr>
        <sz val="10"/>
        <color rgb="FF2A2A2E"/>
        <rFont val="Arial"/>
        <family val="2"/>
      </rPr>
      <t>.</t>
    </r>
  </si>
  <si>
    <t>행정</t>
  </si>
  <si>
    <r>
      <rPr>
        <sz val="10"/>
        <color rgb="FF2A2A2E"/>
        <rFont val="Noto Sans CJK SC"/>
        <family val="2"/>
      </rPr>
      <t xml:space="preserve">홈페이지 </t>
    </r>
    <r>
      <rPr>
        <sz val="10"/>
        <color rgb="FF2A2A2E"/>
        <rFont val="Arial"/>
        <family val="2"/>
      </rPr>
      <t xml:space="preserve">AI </t>
    </r>
    <r>
      <rPr>
        <sz val="10"/>
        <color rgb="FF2A2A2E"/>
        <rFont val="Noto Sans CJK SC"/>
        <family val="2"/>
      </rPr>
      <t xml:space="preserve">환자 </t>
    </r>
    <r>
      <rPr>
        <sz val="10"/>
        <color rgb="FF2A2A2E"/>
        <rFont val="Arial"/>
        <family val="2"/>
      </rPr>
      <t>Q&amp;A</t>
    </r>
  </si>
  <si>
    <r>
      <rPr>
        <b/>
        <sz val="9"/>
        <color rgb="FF2A2A2E"/>
        <rFont val="Noto Sans CJK SC"/>
        <family val="2"/>
      </rPr>
      <t>② 전략 과제</t>
    </r>
    <r>
      <rPr>
        <b/>
        <sz val="9"/>
        <color rgb="FF2A2A2E"/>
        <rFont val="Arial"/>
        <family val="2"/>
      </rPr>
      <t>(</t>
    </r>
    <r>
      <rPr>
        <b/>
        <sz val="9"/>
        <color rgb="FF2A2A2E"/>
        <rFont val="Noto Sans CJK SC"/>
        <family val="2"/>
      </rPr>
      <t>난이도↑</t>
    </r>
    <r>
      <rPr>
        <b/>
        <sz val="9"/>
        <color rgb="FF2A2A2E"/>
        <rFont val="Arial"/>
        <family val="2"/>
      </rPr>
      <t>)</t>
    </r>
  </si>
  <si>
    <r>
      <rPr>
        <sz val="10"/>
        <color rgb="FF2A2A2E"/>
        <rFont val="Noto Sans CJK SC"/>
        <family val="2"/>
      </rPr>
      <t xml:space="preserve">⚠데이터 선확보 </t>
    </r>
    <r>
      <rPr>
        <sz val="10"/>
        <color rgb="FF2A2A2E"/>
        <rFont val="Arial"/>
        <family val="2"/>
      </rPr>
      <t xml:space="preserve">· </t>
    </r>
    <r>
      <rPr>
        <sz val="10"/>
        <color rgb="FF2A2A2E"/>
        <rFont val="Noto Sans CJK SC"/>
        <family val="2"/>
      </rPr>
      <t>챗봇</t>
    </r>
    <r>
      <rPr>
        <sz val="10"/>
        <color rgb="FF2A2A2E"/>
        <rFont val="Arial"/>
        <family val="2"/>
      </rPr>
      <t>+</t>
    </r>
    <r>
      <rPr>
        <sz val="10"/>
        <color rgb="FF2A2A2E"/>
        <rFont val="Noto Sans CJK SC"/>
        <family val="2"/>
      </rPr>
      <t>웹연동</t>
    </r>
    <r>
      <rPr>
        <sz val="10"/>
        <color rgb="FF2A2A2E"/>
        <rFont val="Arial"/>
        <family val="2"/>
      </rPr>
      <t>+</t>
    </r>
    <r>
      <rPr>
        <sz val="10"/>
        <color rgb="FF2A2A2E"/>
        <rFont val="Noto Sans CJK SC"/>
        <family val="2"/>
      </rPr>
      <t>의료정보 안전장치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승인 필요</t>
    </r>
    <r>
      <rPr>
        <sz val="10"/>
        <color rgb="FF2A2A2E"/>
        <rFont val="Arial"/>
        <family val="2"/>
      </rPr>
      <t xml:space="preserve">. </t>
    </r>
    <r>
      <rPr>
        <sz val="10"/>
        <color rgb="FF2A2A2E"/>
        <rFont val="Noto Sans CJK SC"/>
        <family val="2"/>
      </rPr>
      <t>환자 직접 대면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홍보 최고</t>
    </r>
    <r>
      <rPr>
        <sz val="10"/>
        <color rgb="FF2A2A2E"/>
        <rFont val="Arial"/>
        <family val="2"/>
      </rPr>
      <t>.</t>
    </r>
  </si>
  <si>
    <t>입원 대기자 현황</t>
  </si>
  <si>
    <r>
      <rPr>
        <b/>
        <sz val="9"/>
        <color rgb="FF2A2A2E"/>
        <rFont val="Noto Sans CJK SC"/>
        <family val="2"/>
      </rPr>
      <t>③ 효율 과제</t>
    </r>
    <r>
      <rPr>
        <b/>
        <sz val="9"/>
        <color rgb="FF2A2A2E"/>
        <rFont val="Arial"/>
        <family val="2"/>
      </rPr>
      <t>(</t>
    </r>
    <r>
      <rPr>
        <b/>
        <sz val="9"/>
        <color rgb="FF2A2A2E"/>
        <rFont val="Noto Sans CJK SC"/>
        <family val="2"/>
      </rPr>
      <t>임팩트↓</t>
    </r>
    <r>
      <rPr>
        <b/>
        <sz val="9"/>
        <color rgb="FF2A2A2E"/>
        <rFont val="Arial"/>
        <family val="2"/>
      </rPr>
      <t>)</t>
    </r>
  </si>
  <si>
    <r>
      <rPr>
        <sz val="10"/>
        <color rgb="FF2A2A2E"/>
        <rFont val="Noto Sans CJK SC"/>
        <family val="2"/>
      </rPr>
      <t>집계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쉬움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입원 대기</t>
    </r>
    <r>
      <rPr>
        <sz val="10"/>
        <color rgb="FF2A2A2E"/>
        <rFont val="Arial"/>
        <family val="2"/>
      </rPr>
      <t>=</t>
    </r>
    <r>
      <rPr>
        <sz val="10"/>
        <color rgb="FF2A2A2E"/>
        <rFont val="Noto Sans CJK SC"/>
        <family val="2"/>
      </rPr>
      <t>환자 영향</t>
    </r>
    <r>
      <rPr>
        <sz val="10"/>
        <color rgb="FF2A2A2E"/>
        <rFont val="Arial"/>
        <family val="2"/>
      </rPr>
      <t xml:space="preserve">, </t>
    </r>
    <r>
      <rPr>
        <sz val="10"/>
        <color rgb="FF2A2A2E"/>
        <rFont val="Noto Sans CJK SC"/>
        <family val="2"/>
      </rPr>
      <t>내부 운영</t>
    </r>
    <r>
      <rPr>
        <sz val="10"/>
        <color rgb="FF2A2A2E"/>
        <rFont val="Arial"/>
        <family val="2"/>
      </rPr>
      <t>.</t>
    </r>
  </si>
  <si>
    <r>
      <rPr>
        <sz val="10"/>
        <color rgb="FF2A2A2E"/>
        <rFont val="Arial"/>
        <family val="2"/>
      </rPr>
      <t xml:space="preserve">CAR-T </t>
    </r>
    <r>
      <rPr>
        <sz val="10"/>
        <color rgb="FF2A2A2E"/>
        <rFont val="Noto Sans CJK SC"/>
        <family val="2"/>
      </rPr>
      <t>주입 현황</t>
    </r>
  </si>
  <si>
    <r>
      <rPr>
        <sz val="10"/>
        <color rgb="FF2A2A2E"/>
        <rFont val="Noto Sans CJK SC"/>
        <family val="2"/>
      </rPr>
      <t>집계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쉬움</t>
    </r>
    <r>
      <rPr>
        <sz val="10"/>
        <color rgb="FF2A2A2E"/>
        <rFont val="Arial"/>
        <family val="2"/>
      </rPr>
      <t xml:space="preserve">). CAR-T </t>
    </r>
    <r>
      <rPr>
        <sz val="10"/>
        <color rgb="FF2A2A2E"/>
        <rFont val="Noto Sans CJK SC"/>
        <family val="2"/>
      </rPr>
      <t>첨단치료</t>
    </r>
    <r>
      <rPr>
        <sz val="10"/>
        <color rgb="FF2A2A2E"/>
        <rFont val="Arial"/>
        <family val="2"/>
      </rPr>
      <t xml:space="preserve">, </t>
    </r>
    <r>
      <rPr>
        <sz val="10"/>
        <color rgb="FF2A2A2E"/>
        <rFont val="Noto Sans CJK SC"/>
        <family val="2"/>
      </rPr>
      <t>홍보성↑</t>
    </r>
    <r>
      <rPr>
        <sz val="10"/>
        <color rgb="FF2A2A2E"/>
        <rFont val="Arial"/>
        <family val="2"/>
      </rPr>
      <t>.</t>
    </r>
  </si>
  <si>
    <t>연구</t>
  </si>
  <si>
    <r>
      <rPr>
        <sz val="10"/>
        <color rgb="FF2A2A2E"/>
        <rFont val="Noto Sans CJK SC"/>
        <family val="2"/>
      </rPr>
      <t>혈액학 논문 모니터링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 xml:space="preserve">요약 </t>
    </r>
    <r>
      <rPr>
        <sz val="10"/>
        <color rgb="FF2A2A2E"/>
        <rFont val="Arial"/>
        <family val="2"/>
      </rPr>
      <t>agent</t>
    </r>
  </si>
  <si>
    <r>
      <rPr>
        <sz val="10"/>
        <color rgb="FF2A2A2E"/>
        <rFont val="Arial"/>
        <family val="2"/>
      </rPr>
      <t xml:space="preserve">PubMed+LLM </t>
    </r>
    <r>
      <rPr>
        <sz val="10"/>
        <color rgb="FF2A2A2E"/>
        <rFont val="Noto Sans CJK SC"/>
        <family val="2"/>
      </rPr>
      <t>요약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쉬움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연구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교육용</t>
    </r>
    <r>
      <rPr>
        <sz val="10"/>
        <color rgb="FF2A2A2E"/>
        <rFont val="Arial"/>
        <family val="2"/>
      </rPr>
      <t>.</t>
    </r>
  </si>
  <si>
    <t>조혈모세포이식 건수</t>
  </si>
  <si>
    <r>
      <rPr>
        <sz val="10"/>
        <color rgb="FF2A2A2E"/>
        <rFont val="Noto Sans CJK SC"/>
        <family val="2"/>
      </rPr>
      <t>다중 소스 조인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원무팀 등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내부 통계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이식 일부 홍보성</t>
    </r>
    <r>
      <rPr>
        <sz val="10"/>
        <color rgb="FF2A2A2E"/>
        <rFont val="Arial"/>
        <family val="2"/>
      </rPr>
      <t>).</t>
    </r>
  </si>
  <si>
    <t>응급실 재원일수</t>
  </si>
  <si>
    <r>
      <rPr>
        <sz val="10"/>
        <color rgb="FF2A2A2E"/>
        <rFont val="Noto Sans CJK SC"/>
        <family val="2"/>
      </rPr>
      <t>집계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쉬움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내부 운영</t>
    </r>
    <r>
      <rPr>
        <sz val="10"/>
        <color rgb="FF2A2A2E"/>
        <rFont val="Arial"/>
        <family val="2"/>
      </rPr>
      <t>.</t>
    </r>
  </si>
  <si>
    <r>
      <rPr>
        <sz val="10"/>
        <color rgb="FF2A2A2E"/>
        <rFont val="Noto Sans CJK SC"/>
        <family val="2"/>
      </rPr>
      <t>혈액병원 환자현황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표</t>
    </r>
    <r>
      <rPr>
        <sz val="10"/>
        <color rgb="FF2A2A2E"/>
        <rFont val="Arial"/>
        <family val="2"/>
      </rPr>
      <t>1)</t>
    </r>
  </si>
  <si>
    <r>
      <rPr>
        <sz val="10"/>
        <color rgb="FF2A2A2E"/>
        <rFont val="Noto Sans CJK SC"/>
        <family val="2"/>
      </rPr>
      <t>정형 표 집계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쉬움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일별 재원현황</t>
    </r>
    <r>
      <rPr>
        <sz val="10"/>
        <color rgb="FF2A2A2E"/>
        <rFont val="Arial"/>
        <family val="2"/>
      </rPr>
      <t xml:space="preserve">, </t>
    </r>
    <r>
      <rPr>
        <sz val="10"/>
        <color rgb="FF2A2A2E"/>
        <rFont val="Noto Sans CJK SC"/>
        <family val="2"/>
      </rPr>
      <t>내부</t>
    </r>
    <r>
      <rPr>
        <sz val="10"/>
        <color rgb="FF2A2A2E"/>
        <rFont val="Arial"/>
        <family val="2"/>
      </rPr>
      <t>.</t>
    </r>
  </si>
  <si>
    <r>
      <rPr>
        <sz val="10"/>
        <color rgb="FF2A2A2E"/>
        <rFont val="Noto Sans CJK SC"/>
        <family val="2"/>
      </rPr>
      <t>병동별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교수별 재원현황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표</t>
    </r>
    <r>
      <rPr>
        <sz val="10"/>
        <color rgb="FF2A2A2E"/>
        <rFont val="Arial"/>
        <family val="2"/>
      </rPr>
      <t>2)</t>
    </r>
  </si>
  <si>
    <r>
      <rPr>
        <sz val="10"/>
        <color rgb="FF2A2A2E"/>
        <rFont val="Noto Sans CJK SC"/>
        <family val="2"/>
      </rPr>
      <t>정형 표 집계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쉬움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내부 운영</t>
    </r>
    <r>
      <rPr>
        <sz val="10"/>
        <color rgb="FF2A2A2E"/>
        <rFont val="Arial"/>
        <family val="2"/>
      </rPr>
      <t>.</t>
    </r>
  </si>
  <si>
    <r>
      <rPr>
        <sz val="10"/>
        <color rgb="FF2A2A2E"/>
        <rFont val="Noto Sans CJK SC"/>
        <family val="2"/>
      </rPr>
      <t>주사실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골수검사실 입실수 집계</t>
    </r>
  </si>
  <si>
    <r>
      <rPr>
        <sz val="10"/>
        <color rgb="FF2A2A2E"/>
        <rFont val="Noto Sans CJK SC"/>
        <family val="2"/>
      </rPr>
      <t>단순 집계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매우 쉬움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내부 통계</t>
    </r>
    <r>
      <rPr>
        <sz val="10"/>
        <color rgb="FF2A2A2E"/>
        <rFont val="Arial"/>
        <family val="2"/>
      </rPr>
      <t>.</t>
    </r>
  </si>
  <si>
    <r>
      <rPr>
        <sz val="10"/>
        <color rgb="FF2A2A2E"/>
        <rFont val="Noto Sans CJK SC"/>
        <family val="2"/>
      </rPr>
      <t>제</t>
    </r>
    <r>
      <rPr>
        <sz val="10"/>
        <color rgb="FF2A2A2E"/>
        <rFont val="Arial"/>
        <family val="2"/>
      </rPr>
      <t>1</t>
    </r>
    <r>
      <rPr>
        <sz val="10"/>
        <color rgb="FF2A2A2E"/>
        <rFont val="Noto Sans CJK SC"/>
        <family val="2"/>
      </rPr>
      <t>주사실 처치 유형별 집계</t>
    </r>
  </si>
  <si>
    <r>
      <rPr>
        <sz val="10"/>
        <color rgb="FF2A2A2E"/>
        <rFont val="Noto Sans CJK SC"/>
        <family val="2"/>
      </rPr>
      <t>단순 집계</t>
    </r>
    <r>
      <rPr>
        <sz val="10"/>
        <color rgb="FF2A2A2E"/>
        <rFont val="Arial"/>
        <family val="2"/>
      </rPr>
      <t xml:space="preserve">. </t>
    </r>
    <r>
      <rPr>
        <sz val="10"/>
        <color rgb="FF2A2A2E"/>
        <rFont val="Noto Sans CJK SC"/>
        <family val="2"/>
      </rPr>
      <t>내부 통계</t>
    </r>
    <r>
      <rPr>
        <sz val="10"/>
        <color rgb="FF2A2A2E"/>
        <rFont val="Arial"/>
        <family val="2"/>
      </rPr>
      <t>.</t>
    </r>
  </si>
  <si>
    <t>골수검사실 환자 유형별 집계</t>
  </si>
  <si>
    <r>
      <rPr>
        <sz val="10"/>
        <color rgb="FF2A2A2E"/>
        <rFont val="Noto Sans CJK SC"/>
        <family val="2"/>
      </rPr>
      <t>혈액병원 수익 현황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질환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교원별</t>
    </r>
    <r>
      <rPr>
        <sz val="10"/>
        <color rgb="FF2A2A2E"/>
        <rFont val="Arial"/>
        <family val="2"/>
      </rPr>
      <t>)</t>
    </r>
  </si>
  <si>
    <r>
      <rPr>
        <sz val="10"/>
        <color rgb="FF2A2A2E"/>
        <rFont val="Noto Sans CJK SC"/>
        <family val="2"/>
      </rPr>
      <t>단순 집계</t>
    </r>
    <r>
      <rPr>
        <sz val="10"/>
        <color rgb="FF2A2A2E"/>
        <rFont val="Arial"/>
        <family val="2"/>
      </rPr>
      <t xml:space="preserve">. </t>
    </r>
    <r>
      <rPr>
        <sz val="10"/>
        <color rgb="FF2A2A2E"/>
        <rFont val="Noto Sans CJK SC"/>
        <family val="2"/>
      </rPr>
      <t>재무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내부</t>
    </r>
    <r>
      <rPr>
        <sz val="10"/>
        <color rgb="FF2A2A2E"/>
        <rFont val="Arial"/>
        <family val="2"/>
      </rPr>
      <t>.</t>
    </r>
  </si>
  <si>
    <r>
      <rPr>
        <sz val="10"/>
        <color rgb="FF2A2A2E"/>
        <rFont val="Noto Sans CJK SC"/>
        <family val="2"/>
      </rPr>
      <t>병초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과초 환자수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질환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교원별</t>
    </r>
    <r>
      <rPr>
        <sz val="10"/>
        <color rgb="FF2A2A2E"/>
        <rFont val="Arial"/>
        <family val="2"/>
      </rPr>
      <t>)</t>
    </r>
  </si>
  <si>
    <r>
      <rPr>
        <sz val="10"/>
        <color rgb="FF2A2A2E"/>
        <rFont val="Noto Sans CJK SC"/>
        <family val="2"/>
      </rPr>
      <t>입원환자 수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질환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교원별</t>
    </r>
    <r>
      <rPr>
        <sz val="10"/>
        <color rgb="FF2A2A2E"/>
        <rFont val="Arial"/>
        <family val="2"/>
      </rPr>
      <t>)</t>
    </r>
  </si>
  <si>
    <r>
      <rPr>
        <sz val="10"/>
        <color rgb="FF2A2A2E"/>
        <rFont val="Noto Sans CJK SC"/>
        <family val="2"/>
      </rPr>
      <t>단순 집계</t>
    </r>
    <r>
      <rPr>
        <sz val="10"/>
        <color rgb="FF2A2A2E"/>
        <rFont val="Arial"/>
        <family val="2"/>
      </rPr>
      <t xml:space="preserve">. </t>
    </r>
    <r>
      <rPr>
        <sz val="10"/>
        <color rgb="FF2A2A2E"/>
        <rFont val="Noto Sans CJK SC"/>
        <family val="2"/>
      </rPr>
      <t>내부</t>
    </r>
    <r>
      <rPr>
        <sz val="10"/>
        <color rgb="FF2A2A2E"/>
        <rFont val="Arial"/>
        <family val="2"/>
      </rPr>
      <t>.</t>
    </r>
  </si>
  <si>
    <t>평균 재원일수</t>
  </si>
  <si>
    <t>장기재원환자수</t>
  </si>
  <si>
    <r>
      <rPr>
        <sz val="10"/>
        <color rgb="FF2A2A2E"/>
        <rFont val="Arial"/>
        <family val="2"/>
      </rPr>
      <t xml:space="preserve">IRB </t>
    </r>
    <r>
      <rPr>
        <sz val="10"/>
        <color rgb="FF2A2A2E"/>
        <rFont val="Noto Sans CJK SC"/>
        <family val="2"/>
      </rPr>
      <t xml:space="preserve">문서 작성 지원 </t>
    </r>
    <r>
      <rPr>
        <sz val="10"/>
        <color rgb="FF2A2A2E"/>
        <rFont val="Arial"/>
        <family val="2"/>
      </rPr>
      <t>tool</t>
    </r>
  </si>
  <si>
    <r>
      <rPr>
        <sz val="10"/>
        <color rgb="FF2A2A2E"/>
        <rFont val="Arial"/>
        <family val="2"/>
      </rPr>
      <t xml:space="preserve">LLM </t>
    </r>
    <r>
      <rPr>
        <sz val="10"/>
        <color rgb="FF2A2A2E"/>
        <rFont val="Noto Sans CJK SC"/>
        <family val="2"/>
      </rPr>
      <t>문서생성 적합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쉬움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연구지원</t>
    </r>
    <r>
      <rPr>
        <sz val="10"/>
        <color rgb="FF2A2A2E"/>
        <rFont val="Arial"/>
        <family val="2"/>
      </rPr>
      <t xml:space="preserve">, </t>
    </r>
    <r>
      <rPr>
        <sz val="10"/>
        <color rgb="FF2A2A2E"/>
        <rFont val="Noto Sans CJK SC"/>
        <family val="2"/>
      </rPr>
      <t>환자 직접 이득 낮음</t>
    </r>
    <r>
      <rPr>
        <sz val="10"/>
        <color rgb="FF2A2A2E"/>
        <rFont val="Arial"/>
        <family val="2"/>
      </rPr>
      <t>.</t>
    </r>
  </si>
  <si>
    <t>병동진료</t>
  </si>
  <si>
    <r>
      <rPr>
        <sz val="10"/>
        <color rgb="FF2A2A2E"/>
        <rFont val="Arial"/>
        <family val="2"/>
      </rPr>
      <t xml:space="preserve">MDS HMA </t>
    </r>
    <r>
      <rPr>
        <sz val="10"/>
        <color rgb="FF2A2A2E"/>
        <rFont val="Noto Sans CJK SC"/>
        <family val="2"/>
      </rPr>
      <t>치료반응</t>
    </r>
    <r>
      <rPr>
        <sz val="10"/>
        <color rgb="FF2A2A2E"/>
        <rFont val="Arial"/>
        <family val="2"/>
      </rPr>
      <t>·scoring agent</t>
    </r>
  </si>
  <si>
    <r>
      <rPr>
        <b/>
        <sz val="9"/>
        <color rgb="FF2A2A2E"/>
        <rFont val="Noto Sans CJK SC"/>
        <family val="2"/>
      </rPr>
      <t>④ 후순위</t>
    </r>
    <r>
      <rPr>
        <b/>
        <sz val="9"/>
        <color rgb="FF2A2A2E"/>
        <rFont val="Arial"/>
        <family val="2"/>
      </rPr>
      <t>·</t>
    </r>
    <r>
      <rPr>
        <b/>
        <sz val="9"/>
        <color rgb="FF2A2A2E"/>
        <rFont val="Noto Sans CJK SC"/>
        <family val="2"/>
      </rPr>
      <t>재검토</t>
    </r>
  </si>
  <si>
    <r>
      <rPr>
        <sz val="10"/>
        <color rgb="FF2A2A2E"/>
        <rFont val="Noto Sans CJK SC"/>
        <family val="2"/>
      </rPr>
      <t xml:space="preserve">정형 </t>
    </r>
    <r>
      <rPr>
        <sz val="10"/>
        <color rgb="FF2A2A2E"/>
        <rFont val="Arial"/>
        <family val="2"/>
      </rPr>
      <t>scoring+</t>
    </r>
    <r>
      <rPr>
        <sz val="10"/>
        <color rgb="FF2A2A2E"/>
        <rFont val="Noto Sans CJK SC"/>
        <family val="2"/>
      </rPr>
      <t>구조화 데이터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중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치료반응 평가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임상가치 있으나 두 기준상 중간</t>
    </r>
    <r>
      <rPr>
        <sz val="10"/>
        <color rgb="FF2A2A2E"/>
        <rFont val="Arial"/>
        <family val="2"/>
      </rPr>
      <t>).</t>
    </r>
  </si>
  <si>
    <t>동일질환 교원별 처방내역 분석</t>
  </si>
  <si>
    <r>
      <rPr>
        <sz val="10"/>
        <color rgb="FF2A2A2E"/>
        <rFont val="Noto Sans CJK SC"/>
        <family val="2"/>
      </rPr>
      <t>추출</t>
    </r>
    <r>
      <rPr>
        <sz val="10"/>
        <color rgb="FF2A2A2E"/>
        <rFont val="Arial"/>
        <family val="2"/>
      </rPr>
      <t>+</t>
    </r>
    <r>
      <rPr>
        <sz val="10"/>
        <color rgb="FF2A2A2E"/>
        <rFont val="Noto Sans CJK SC"/>
        <family val="2"/>
      </rPr>
      <t>처방편차 분석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중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진료 표준화</t>
    </r>
    <r>
      <rPr>
        <sz val="10"/>
        <color rgb="FF2A2A2E"/>
        <rFont val="Arial"/>
        <family val="2"/>
      </rPr>
      <t>=</t>
    </r>
    <r>
      <rPr>
        <sz val="10"/>
        <color rgb="FF2A2A2E"/>
        <rFont val="Noto Sans CJK SC"/>
        <family val="2"/>
      </rPr>
      <t>간접 이득</t>
    </r>
    <r>
      <rPr>
        <sz val="10"/>
        <color rgb="FF2A2A2E"/>
        <rFont val="Arial"/>
        <family val="2"/>
      </rPr>
      <t>.</t>
    </r>
  </si>
  <si>
    <r>
      <rPr>
        <sz val="10"/>
        <color rgb="FF2A2A2E"/>
        <rFont val="Arial"/>
        <family val="2"/>
      </rPr>
      <t xml:space="preserve">nU </t>
    </r>
    <r>
      <rPr>
        <sz val="10"/>
        <color rgb="FF2A2A2E"/>
        <rFont val="Noto Sans CJK SC"/>
        <family val="2"/>
      </rPr>
      <t xml:space="preserve">화면 이미지인식 </t>
    </r>
    <r>
      <rPr>
        <sz val="10"/>
        <color rgb="FF2A2A2E"/>
        <rFont val="Arial"/>
        <family val="2"/>
      </rPr>
      <t xml:space="preserve">lab </t>
    </r>
    <r>
      <rPr>
        <sz val="10"/>
        <color rgb="FF2A2A2E"/>
        <rFont val="Noto Sans CJK SC"/>
        <family val="2"/>
      </rPr>
      <t>분석</t>
    </r>
  </si>
  <si>
    <r>
      <rPr>
        <sz val="10"/>
        <color rgb="FF2A2A2E"/>
        <rFont val="Noto Sans CJK SC"/>
        <family val="2"/>
      </rPr>
      <t xml:space="preserve">⚠데이터 선확보 </t>
    </r>
    <r>
      <rPr>
        <sz val="10"/>
        <color rgb="FF2A2A2E"/>
        <rFont val="Arial"/>
        <family val="2"/>
      </rPr>
      <t xml:space="preserve">· lab </t>
    </r>
    <r>
      <rPr>
        <sz val="10"/>
        <color rgb="FF2A2A2E"/>
        <rFont val="Noto Sans CJK SC"/>
        <family val="2"/>
      </rPr>
      <t>화면 이미지 인식 난이도↑</t>
    </r>
    <r>
      <rPr>
        <sz val="10"/>
        <color rgb="FF2A2A2E"/>
        <rFont val="Arial"/>
        <family val="2"/>
      </rPr>
      <t xml:space="preserve">. </t>
    </r>
    <r>
      <rPr>
        <sz val="10"/>
        <color rgb="FF2A2A2E"/>
        <rFont val="Noto Sans CJK SC"/>
        <family val="2"/>
      </rPr>
      <t>임상 판단 보조</t>
    </r>
    <r>
      <rPr>
        <sz val="10"/>
        <color rgb="FF2A2A2E"/>
        <rFont val="Arial"/>
        <family val="2"/>
      </rPr>
      <t>.</t>
    </r>
  </si>
  <si>
    <r>
      <rPr>
        <sz val="10"/>
        <color rgb="FF2A2A2E"/>
        <rFont val="Noto Sans CJK SC"/>
        <family val="2"/>
      </rPr>
      <t xml:space="preserve">병실배정 </t>
    </r>
    <r>
      <rPr>
        <sz val="10"/>
        <color rgb="FF2A2A2E"/>
        <rFont val="Arial"/>
        <family val="2"/>
      </rPr>
      <t>agent (</t>
    </r>
    <r>
      <rPr>
        <sz val="10"/>
        <color rgb="FF2A2A2E"/>
        <rFont val="Noto Sans CJK SC"/>
        <family val="2"/>
      </rPr>
      <t>병상 수익 기반</t>
    </r>
    <r>
      <rPr>
        <sz val="10"/>
        <color rgb="FF2A2A2E"/>
        <rFont val="Arial"/>
        <family val="2"/>
      </rPr>
      <t>)</t>
    </r>
  </si>
  <si>
    <r>
      <rPr>
        <sz val="10"/>
        <color rgb="FF2A2A2E"/>
        <rFont val="Noto Sans CJK SC"/>
        <family val="2"/>
      </rPr>
      <t xml:space="preserve">⚠데이터 선확보 </t>
    </r>
    <r>
      <rPr>
        <sz val="10"/>
        <color rgb="FF2A2A2E"/>
        <rFont val="Arial"/>
        <family val="2"/>
      </rPr>
      <t xml:space="preserve">· </t>
    </r>
    <r>
      <rPr>
        <sz val="10"/>
        <color rgb="FF2A2A2E"/>
        <rFont val="Noto Sans CJK SC"/>
        <family val="2"/>
      </rPr>
      <t>병상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수익 데이터</t>
    </r>
    <r>
      <rPr>
        <sz val="10"/>
        <color rgb="FF2A2A2E"/>
        <rFont val="Arial"/>
        <family val="2"/>
      </rPr>
      <t>+</t>
    </r>
    <r>
      <rPr>
        <sz val="10"/>
        <color rgb="FF2A2A2E"/>
        <rFont val="Noto Sans CJK SC"/>
        <family val="2"/>
      </rPr>
      <t>배정 로직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중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환자 이득 간접</t>
    </r>
    <r>
      <rPr>
        <sz val="10"/>
        <color rgb="FF2A2A2E"/>
        <rFont val="Arial"/>
        <family val="2"/>
      </rPr>
      <t>.</t>
    </r>
  </si>
  <si>
    <t>항암치료 현황</t>
  </si>
  <si>
    <r>
      <rPr>
        <sz val="10"/>
        <color rgb="FF2A2A2E"/>
        <rFont val="Noto Sans CJK SC"/>
        <family val="2"/>
      </rPr>
      <t>다중 소스 조인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중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내부 통계</t>
    </r>
    <r>
      <rPr>
        <sz val="10"/>
        <color rgb="FF2A2A2E"/>
        <rFont val="Arial"/>
        <family val="2"/>
      </rPr>
      <t>.</t>
    </r>
  </si>
  <si>
    <r>
      <rPr>
        <sz val="10"/>
        <color rgb="FF2A2A2E"/>
        <rFont val="Arial"/>
        <family val="2"/>
      </rPr>
      <t xml:space="preserve">MPN registry </t>
    </r>
    <r>
      <rPr>
        <sz val="10"/>
        <color rgb="FF2A2A2E"/>
        <rFont val="Noto Sans CJK SC"/>
        <family val="2"/>
      </rPr>
      <t>구축</t>
    </r>
  </si>
  <si>
    <r>
      <rPr>
        <sz val="10"/>
        <color rgb="FF2A2A2E"/>
        <rFont val="Noto Sans CJK SC"/>
        <family val="2"/>
      </rPr>
      <t xml:space="preserve">⚠데이터 선확보 </t>
    </r>
    <r>
      <rPr>
        <sz val="10"/>
        <color rgb="FF2A2A2E"/>
        <rFont val="Arial"/>
        <family val="2"/>
      </rPr>
      <t xml:space="preserve">· </t>
    </r>
    <r>
      <rPr>
        <sz val="10"/>
        <color rgb="FF2A2A2E"/>
        <rFont val="Noto Sans CJK SC"/>
        <family val="2"/>
      </rPr>
      <t>레지스트리 설계</t>
    </r>
    <r>
      <rPr>
        <sz val="10"/>
        <color rgb="FF2A2A2E"/>
        <rFont val="Arial"/>
        <family val="2"/>
      </rPr>
      <t>·</t>
    </r>
    <r>
      <rPr>
        <sz val="10"/>
        <color rgb="FF2A2A2E"/>
        <rFont val="Noto Sans CJK SC"/>
        <family val="2"/>
      </rPr>
      <t>구축</t>
    </r>
    <r>
      <rPr>
        <sz val="10"/>
        <color rgb="FF2A2A2E"/>
        <rFont val="Arial"/>
        <family val="2"/>
      </rPr>
      <t>(</t>
    </r>
    <r>
      <rPr>
        <sz val="10"/>
        <color rgb="FF2A2A2E"/>
        <rFont val="Noto Sans CJK SC"/>
        <family val="2"/>
      </rPr>
      <t>중</t>
    </r>
    <r>
      <rPr>
        <sz val="10"/>
        <color rgb="FF2A2A2E"/>
        <rFont val="Arial"/>
        <family val="2"/>
      </rPr>
      <t xml:space="preserve">). </t>
    </r>
    <r>
      <rPr>
        <sz val="10"/>
        <color rgb="FF2A2A2E"/>
        <rFont val="Noto Sans CJK SC"/>
        <family val="2"/>
      </rPr>
      <t>연구 인프라</t>
    </r>
    <r>
      <rPr>
        <sz val="10"/>
        <color rgb="FF2A2A2E"/>
        <rFont val="Arial"/>
        <family val="2"/>
      </rPr>
      <t>.</t>
    </r>
  </si>
  <si>
    <r>
      <rPr>
        <b/>
        <sz val="10"/>
        <color rgb="FF7C1D32"/>
        <rFont val="Noto Sans CJK SC"/>
        <family val="2"/>
      </rPr>
      <t xml:space="preserve">사분면 기준 </t>
    </r>
    <r>
      <rPr>
        <b/>
        <sz val="10"/>
        <color rgb="FF7C1D32"/>
        <rFont val="Arial"/>
        <family val="2"/>
      </rPr>
      <t>(</t>
    </r>
    <r>
      <rPr>
        <b/>
        <sz val="10"/>
        <color rgb="FF7C1D32"/>
        <rFont val="Noto Sans CJK SC"/>
        <family val="2"/>
      </rPr>
      <t xml:space="preserve">개발용이성 </t>
    </r>
    <r>
      <rPr>
        <b/>
        <sz val="10"/>
        <color rgb="FF7C1D32"/>
        <rFont val="Arial"/>
        <family val="2"/>
      </rPr>
      <t xml:space="preserve">× </t>
    </r>
    <r>
      <rPr>
        <b/>
        <sz val="10"/>
        <color rgb="FF7C1D32"/>
        <rFont val="Noto Sans CJK SC"/>
        <family val="2"/>
      </rPr>
      <t>환자이득</t>
    </r>
    <r>
      <rPr>
        <b/>
        <sz val="10"/>
        <color rgb="FF7C1D32"/>
        <rFont val="Arial"/>
        <family val="2"/>
      </rPr>
      <t>·</t>
    </r>
    <r>
      <rPr>
        <b/>
        <sz val="10"/>
        <color rgb="FF7C1D32"/>
        <rFont val="Noto Sans CJK SC"/>
        <family val="2"/>
      </rPr>
      <t>홍보</t>
    </r>
    <r>
      <rPr>
        <b/>
        <sz val="10"/>
        <color rgb="FF7C1D32"/>
        <rFont val="Arial"/>
        <family val="2"/>
      </rPr>
      <t>)</t>
    </r>
  </si>
  <si>
    <r>
      <rPr>
        <sz val="9"/>
        <color rgb="FF2A2A2E"/>
        <rFont val="Noto Sans CJK SC"/>
        <family val="2"/>
      </rPr>
      <t xml:space="preserve">개발 쉬움 </t>
    </r>
    <r>
      <rPr>
        <sz val="9"/>
        <color rgb="FF2A2A2E"/>
        <rFont val="Arial"/>
        <family val="2"/>
      </rPr>
      <t xml:space="preserve">+ </t>
    </r>
    <r>
      <rPr>
        <sz val="9"/>
        <color rgb="FF2A2A2E"/>
        <rFont val="Noto Sans CJK SC"/>
        <family val="2"/>
      </rPr>
      <t>환자이득</t>
    </r>
    <r>
      <rPr>
        <sz val="9"/>
        <color rgb="FF2A2A2E"/>
        <rFont val="Arial"/>
        <family val="2"/>
      </rPr>
      <t>·</t>
    </r>
    <r>
      <rPr>
        <sz val="9"/>
        <color rgb="FF2A2A2E"/>
        <rFont val="Noto Sans CJK SC"/>
        <family val="2"/>
      </rPr>
      <t>홍보 높음 → 가장 먼저 개발</t>
    </r>
  </si>
  <si>
    <r>
      <rPr>
        <sz val="9"/>
        <color rgb="FF2A2A2E"/>
        <rFont val="Noto Sans CJK SC"/>
        <family val="2"/>
      </rPr>
      <t>환자이득</t>
    </r>
    <r>
      <rPr>
        <sz val="9"/>
        <color rgb="FF2A2A2E"/>
        <rFont val="Arial"/>
        <family val="2"/>
      </rPr>
      <t>·</t>
    </r>
    <r>
      <rPr>
        <sz val="9"/>
        <color rgb="FF2A2A2E"/>
        <rFont val="Noto Sans CJK SC"/>
        <family val="2"/>
      </rPr>
      <t xml:space="preserve">홍보 높음 </t>
    </r>
    <r>
      <rPr>
        <sz val="9"/>
        <color rgb="FF2A2A2E"/>
        <rFont val="Arial"/>
        <family val="2"/>
      </rPr>
      <t xml:space="preserve">+ </t>
    </r>
    <r>
      <rPr>
        <sz val="9"/>
        <color rgb="FF2A2A2E"/>
        <rFont val="Noto Sans CJK SC"/>
        <family val="2"/>
      </rPr>
      <t>난이도↑ → 거버넌스 갖춰 단계적 추진</t>
    </r>
  </si>
  <si>
    <r>
      <rPr>
        <sz val="9"/>
        <color rgb="FF2A2A2E"/>
        <rFont val="Noto Sans CJK SC"/>
        <family val="2"/>
      </rPr>
      <t xml:space="preserve">개발 쉬움 </t>
    </r>
    <r>
      <rPr>
        <sz val="9"/>
        <color rgb="FF2A2A2E"/>
        <rFont val="Arial"/>
        <family val="2"/>
      </rPr>
      <t xml:space="preserve">+ </t>
    </r>
    <r>
      <rPr>
        <sz val="9"/>
        <color rgb="FF2A2A2E"/>
        <rFont val="Noto Sans CJK SC"/>
        <family val="2"/>
      </rPr>
      <t>환자 직접 이득 낮음 → 저비용 배경 과제</t>
    </r>
  </si>
  <si>
    <r>
      <rPr>
        <sz val="9"/>
        <color rgb="FF2A2A2E"/>
        <rFont val="Noto Sans CJK SC"/>
        <family val="2"/>
      </rPr>
      <t>두 기준 모두 중간 이하 → 범위</t>
    </r>
    <r>
      <rPr>
        <sz val="9"/>
        <color rgb="FF2A2A2E"/>
        <rFont val="Arial"/>
        <family val="2"/>
      </rPr>
      <t>·</t>
    </r>
    <r>
      <rPr>
        <sz val="9"/>
        <color rgb="FF2A2A2E"/>
        <rFont val="Noto Sans CJK SC"/>
        <family val="2"/>
      </rPr>
      <t>가치 재검토</t>
    </r>
  </si>
  <si>
    <r>
      <rPr>
        <b/>
        <sz val="10"/>
        <color rgb="FF7C1D32"/>
        <rFont val="Arial"/>
        <family val="2"/>
      </rPr>
      <t>raw</t>
    </r>
    <r>
      <rPr>
        <b/>
        <sz val="10"/>
        <color rgb="FF7C1D32"/>
        <rFont val="Noto Sans CJK SC"/>
        <family val="2"/>
      </rPr>
      <t xml:space="preserve">데이터 확보 게이트 </t>
    </r>
    <r>
      <rPr>
        <b/>
        <sz val="10"/>
        <color rgb="FF7C1D32"/>
        <rFont val="Arial"/>
        <family val="2"/>
      </rPr>
      <t>(</t>
    </r>
    <r>
      <rPr>
        <b/>
        <sz val="10"/>
        <color rgb="FF7C1D32"/>
        <rFont val="Noto Sans CJK SC"/>
        <family val="2"/>
      </rPr>
      <t>별도 분류</t>
    </r>
    <r>
      <rPr>
        <b/>
        <sz val="10"/>
        <color rgb="FF7C1D32"/>
        <rFont val="Arial"/>
        <family val="2"/>
      </rPr>
      <t>)</t>
    </r>
  </si>
  <si>
    <r>
      <rPr>
        <b/>
        <sz val="9"/>
        <color rgb="FF2A2A2E"/>
        <rFont val="Noto Sans CJK SC"/>
        <family val="2"/>
      </rPr>
      <t>확보 쉬움</t>
    </r>
    <r>
      <rPr>
        <b/>
        <sz val="9"/>
        <color rgb="FF2A2A2E"/>
        <rFont val="Arial"/>
        <family val="2"/>
      </rPr>
      <t>(4-5)</t>
    </r>
  </si>
  <si>
    <r>
      <rPr>
        <sz val="9"/>
        <color rgb="FF2A2A2E"/>
        <rFont val="Noto Sans CJK SC"/>
        <family val="2"/>
      </rPr>
      <t>정형 리포트</t>
    </r>
    <r>
      <rPr>
        <sz val="9"/>
        <color rgb="FF2A2A2E"/>
        <rFont val="Arial"/>
        <family val="2"/>
      </rPr>
      <t>·</t>
    </r>
    <r>
      <rPr>
        <sz val="9"/>
        <color rgb="FF2A2A2E"/>
        <rFont val="Noto Sans CJK SC"/>
        <family val="2"/>
      </rPr>
      <t>통계프로그램</t>
    </r>
    <r>
      <rPr>
        <sz val="9"/>
        <color rgb="FF2A2A2E"/>
        <rFont val="Arial"/>
        <family val="2"/>
      </rPr>
      <t xml:space="preserve">·HIS </t>
    </r>
    <r>
      <rPr>
        <sz val="9"/>
        <color rgb="FF2A2A2E"/>
        <rFont val="Noto Sans CJK SC"/>
        <family val="2"/>
      </rPr>
      <t>등 반복 확보 가능 → 즉시 착수 가능</t>
    </r>
  </si>
  <si>
    <r>
      <rPr>
        <b/>
        <sz val="9"/>
        <color rgb="FF2A2A2E"/>
        <rFont val="Noto Sans CJK SC"/>
        <family val="2"/>
      </rPr>
      <t>선확보 필요</t>
    </r>
    <r>
      <rPr>
        <b/>
        <sz val="9"/>
        <color rgb="FF2A2A2E"/>
        <rFont val="Arial"/>
        <family val="2"/>
      </rPr>
      <t>(1-2)</t>
    </r>
  </si>
  <si>
    <r>
      <rPr>
        <sz val="9"/>
        <color rgb="FF2A2A2E"/>
        <rFont val="Noto Sans CJK SC"/>
        <family val="2"/>
      </rPr>
      <t>데이터 미존재</t>
    </r>
    <r>
      <rPr>
        <sz val="9"/>
        <color rgb="FF2A2A2E"/>
        <rFont val="Arial"/>
        <family val="2"/>
      </rPr>
      <t>·</t>
    </r>
    <r>
      <rPr>
        <sz val="9"/>
        <color rgb="FF2A2A2E"/>
        <rFont val="Noto Sans CJK SC"/>
        <family val="2"/>
      </rPr>
      <t>비정형</t>
    </r>
    <r>
      <rPr>
        <sz val="9"/>
        <color rgb="FF2A2A2E"/>
        <rFont val="Arial"/>
        <family val="2"/>
      </rPr>
      <t>(</t>
    </r>
    <r>
      <rPr>
        <sz val="9"/>
        <color rgb="FF2A2A2E"/>
        <rFont val="Noto Sans CJK SC"/>
        <family val="2"/>
      </rPr>
      <t>이미지</t>
    </r>
    <r>
      <rPr>
        <sz val="9"/>
        <color rgb="FF2A2A2E"/>
        <rFont val="Arial"/>
        <family val="2"/>
      </rPr>
      <t>)·</t>
    </r>
    <r>
      <rPr>
        <sz val="9"/>
        <color rgb="FF2A2A2E"/>
        <rFont val="Noto Sans CJK SC"/>
        <family val="2"/>
      </rPr>
      <t>지식베이스 선구축 등 → 데이터 확보가 선행 과제</t>
    </r>
  </si>
  <si>
    <r>
      <rPr>
        <i/>
        <sz val="9"/>
        <color rgb="FF808080"/>
        <rFont val="Noto Sans CJK SC"/>
        <family val="2"/>
      </rPr>
      <t>정렬</t>
    </r>
    <r>
      <rPr>
        <i/>
        <sz val="9"/>
        <color rgb="FF808080"/>
        <rFont val="Arial"/>
        <family val="2"/>
      </rPr>
      <t xml:space="preserve">: </t>
    </r>
    <r>
      <rPr>
        <i/>
        <sz val="9"/>
        <color rgb="FF808080"/>
        <rFont val="Noto Sans CJK SC"/>
        <family val="2"/>
      </rPr>
      <t>사분면</t>
    </r>
    <r>
      <rPr>
        <i/>
        <sz val="9"/>
        <color rgb="FF808080"/>
        <rFont val="Arial"/>
        <family val="2"/>
      </rPr>
      <t xml:space="preserve">(①→④) → </t>
    </r>
    <r>
      <rPr>
        <i/>
        <sz val="9"/>
        <color rgb="FF808080"/>
        <rFont val="Noto Sans CJK SC"/>
        <family val="2"/>
      </rPr>
      <t>종합점수 → 환자이득 순</t>
    </r>
    <r>
      <rPr>
        <i/>
        <sz val="9"/>
        <color rgb="FF808080"/>
        <rFont val="Arial"/>
        <family val="2"/>
      </rPr>
      <t>. raw</t>
    </r>
    <r>
      <rPr>
        <i/>
        <sz val="9"/>
        <color rgb="FF808080"/>
        <rFont val="Noto Sans CJK SC"/>
        <family val="2"/>
      </rPr>
      <t xml:space="preserve">데이터는 종합에 합산하지 않고 </t>
    </r>
    <r>
      <rPr>
        <i/>
        <sz val="9"/>
        <color rgb="FF808080"/>
        <rFont val="Arial"/>
        <family val="2"/>
      </rPr>
      <t>'</t>
    </r>
    <r>
      <rPr>
        <i/>
        <sz val="9"/>
        <color rgb="FF808080"/>
        <rFont val="Noto Sans CJK SC"/>
        <family val="2"/>
      </rPr>
      <t>착수 가능 여부</t>
    </r>
    <r>
      <rPr>
        <i/>
        <sz val="9"/>
        <color rgb="FF808080"/>
        <rFont val="Arial"/>
        <family val="2"/>
      </rPr>
      <t xml:space="preserve">' </t>
    </r>
    <r>
      <rPr>
        <i/>
        <sz val="9"/>
        <color rgb="FF808080"/>
        <rFont val="Noto Sans CJK SC"/>
        <family val="2"/>
      </rPr>
      <t>게이트로 별도 표기</t>
    </r>
    <r>
      <rPr>
        <i/>
        <sz val="9"/>
        <color rgb="FF808080"/>
        <rFont val="Arial"/>
        <family val="2"/>
      </rPr>
      <t xml:space="preserve">. </t>
    </r>
    <r>
      <rPr>
        <i/>
        <sz val="9"/>
        <color rgb="FF808080"/>
        <rFont val="Noto Sans CJK SC"/>
        <family val="2"/>
      </rPr>
      <t>점수는 검토용 추정치</t>
    </r>
    <r>
      <rPr>
        <i/>
        <sz val="9"/>
        <color rgb="FF808080"/>
        <rFont val="Arial"/>
        <family val="2"/>
      </rPr>
      <t>.</t>
    </r>
  </si>
  <si>
    <r>
      <rPr>
        <b/>
        <sz val="12"/>
        <color rgb="FFFF0000"/>
        <rFont val="맑은 고딕"/>
        <family val="3"/>
        <charset val="129"/>
      </rPr>
      <t>*</t>
    </r>
    <r>
      <rPr>
        <b/>
        <sz val="12"/>
        <color rgb="FFFF0000"/>
        <rFont val="Noto Sans CJK SC"/>
        <family val="2"/>
      </rPr>
      <t xml:space="preserve">표 </t>
    </r>
    <r>
      <rPr>
        <b/>
        <sz val="12"/>
        <color rgb="FFFF0000"/>
        <rFont val="맑은 고딕"/>
        <family val="3"/>
        <charset val="129"/>
      </rPr>
      <t>1</t>
    </r>
  </si>
  <si>
    <r>
      <rPr>
        <sz val="10"/>
        <color theme="1"/>
        <rFont val="맑은 고딕"/>
        <family val="3"/>
        <charset val="129"/>
      </rPr>
      <t xml:space="preserve">* </t>
    </r>
    <r>
      <rPr>
        <sz val="10"/>
        <color theme="1"/>
        <rFont val="Noto Sans CJK SC"/>
        <family val="2"/>
      </rPr>
      <t>전일 입원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>퇴원</t>
    </r>
    <r>
      <rPr>
        <sz val="10"/>
        <color theme="1"/>
        <rFont val="맑은 고딕"/>
        <family val="3"/>
        <charset val="129"/>
      </rPr>
      <t xml:space="preserve">, </t>
    </r>
    <r>
      <rPr>
        <sz val="10"/>
        <color theme="1"/>
        <rFont val="Noto Sans CJK SC"/>
        <family val="2"/>
      </rPr>
      <t xml:space="preserve">전원 기준 </t>
    </r>
    <r>
      <rPr>
        <sz val="10"/>
        <color theme="1"/>
        <rFont val="맑은 고딕"/>
        <family val="3"/>
        <charset val="129"/>
      </rPr>
      <t xml:space="preserve">: </t>
    </r>
    <r>
      <rPr>
        <sz val="10"/>
        <color theme="1"/>
        <rFont val="Noto Sans CJK SC"/>
        <family val="2"/>
      </rPr>
      <t>외래 및 응급실 포함</t>
    </r>
  </si>
  <si>
    <r>
      <rPr>
        <sz val="10"/>
        <color theme="1"/>
        <rFont val="Noto Sans CJK SC"/>
        <family val="2"/>
      </rPr>
      <t xml:space="preserve">서울성모병원
</t>
    </r>
    <r>
      <rPr>
        <sz val="10"/>
        <color theme="1"/>
        <rFont val="맑은 고딕"/>
        <family val="3"/>
        <charset val="129"/>
      </rPr>
      <t>(20,19,18</t>
    </r>
    <r>
      <rPr>
        <sz val="10"/>
        <color theme="1"/>
        <rFont val="Noto Sans CJK SC"/>
        <family val="2"/>
      </rPr>
      <t>층</t>
    </r>
    <r>
      <rPr>
        <sz val="10"/>
        <color theme="1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</si>
  <si>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은평성모병원
</t>
    </r>
    <r>
      <rPr>
        <sz val="10"/>
        <color rgb="FF000000"/>
        <rFont val="맑은 고딕"/>
        <family val="3"/>
        <charset val="129"/>
      </rPr>
      <t>(151,162</t>
    </r>
    <r>
      <rPr>
        <sz val="10"/>
        <color rgb="FF000000"/>
        <rFont val="Noto Sans CJK SC"/>
        <family val="2"/>
      </rPr>
      <t>병동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</si>
  <si>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여의도성모병원
</t>
    </r>
    <r>
      <rPr>
        <sz val="10"/>
        <color rgb="FF000000"/>
        <rFont val="맑은 고딕"/>
        <family val="3"/>
        <charset val="129"/>
      </rPr>
      <t>(13</t>
    </r>
    <r>
      <rPr>
        <sz val="10"/>
        <color rgb="FF000000"/>
        <rFont val="Noto Sans CJK SC"/>
        <family val="2"/>
      </rPr>
      <t>층</t>
    </r>
    <r>
      <rPr>
        <sz val="10"/>
        <color rgb="FF000000"/>
        <rFont val="맑은 고딕"/>
        <family val="3"/>
        <charset val="129"/>
      </rPr>
      <t>,6</t>
    </r>
    <r>
      <rPr>
        <sz val="10"/>
        <color rgb="FF000000"/>
        <rFont val="Noto Sans CJK SC"/>
        <family val="2"/>
      </rPr>
      <t>동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</si>
  <si>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 xml:space="preserve">인천성모병원
 </t>
    </r>
    <r>
      <rPr>
        <sz val="10"/>
        <color rgb="FF000000"/>
        <rFont val="맑은 고딕"/>
        <family val="3"/>
        <charset val="129"/>
      </rPr>
      <t>(63,73</t>
    </r>
    <r>
      <rPr>
        <sz val="10"/>
        <color rgb="FF000000"/>
        <rFont val="Noto Sans CJK SC"/>
        <family val="2"/>
      </rPr>
      <t>병동</t>
    </r>
    <r>
      <rPr>
        <sz val="10"/>
        <color rgb="FF000000"/>
        <rFont val="맑은 고딕"/>
        <family val="3"/>
        <charset val="129"/>
      </rPr>
      <t>)</t>
    </r>
  </si>
  <si>
    <t>전체 입원</t>
  </si>
  <si>
    <t>전용병상 수</t>
  </si>
  <si>
    <t>전체 입원환자 수</t>
  </si>
  <si>
    <r>
      <rPr>
        <sz val="10"/>
        <color rgb="FF000000"/>
        <rFont val="Noto Sans CJK SC"/>
        <family val="2"/>
      </rPr>
      <t>전용대비 입원환자 가동율</t>
    </r>
    <r>
      <rPr>
        <sz val="10"/>
        <color rgb="FF000000"/>
        <rFont val="맑은 고딕"/>
        <family val="3"/>
        <charset val="129"/>
      </rPr>
      <t>(%)</t>
    </r>
  </si>
  <si>
    <t>전용병상 입원환자 수</t>
  </si>
  <si>
    <r>
      <rPr>
        <sz val="10"/>
        <color rgb="FF000000"/>
        <rFont val="Noto Sans CJK SC"/>
        <family val="2"/>
      </rPr>
      <t>전용병상 가동율</t>
    </r>
    <r>
      <rPr>
        <sz val="10"/>
        <color rgb="FF000000"/>
        <rFont val="맑은 고딕"/>
        <family val="3"/>
        <charset val="129"/>
      </rPr>
      <t>(%)</t>
    </r>
  </si>
  <si>
    <t>이식병실 입원</t>
  </si>
  <si>
    <t>입원환자 수</t>
  </si>
  <si>
    <t>5</t>
  </si>
  <si>
    <t>9</t>
  </si>
  <si>
    <r>
      <rPr>
        <sz val="10"/>
        <color rgb="FF000000"/>
        <rFont val="Noto Sans CJK SC"/>
        <family val="2"/>
      </rPr>
      <t>전용 이식병실 가동율</t>
    </r>
    <r>
      <rPr>
        <sz val="10"/>
        <color rgb="FF000000"/>
        <rFont val="맑은 고딕"/>
        <family val="3"/>
        <charset val="129"/>
      </rPr>
      <t>(%)</t>
    </r>
  </si>
  <si>
    <t>무균병실 입원</t>
  </si>
  <si>
    <r>
      <rPr>
        <sz val="10"/>
        <color rgb="FF000000"/>
        <rFont val="Noto Sans CJK SC"/>
        <family val="2"/>
      </rPr>
      <t>전용 무균병실 가동율</t>
    </r>
    <r>
      <rPr>
        <sz val="10"/>
        <color rgb="FF000000"/>
        <rFont val="맑은 고딕"/>
        <family val="3"/>
        <charset val="129"/>
      </rPr>
      <t>(%)</t>
    </r>
  </si>
  <si>
    <t>일반병실 입원</t>
  </si>
  <si>
    <t>전용 일반병상 수</t>
  </si>
  <si>
    <t>58</t>
  </si>
  <si>
    <t>70</t>
  </si>
  <si>
    <t>24</t>
  </si>
  <si>
    <t>일반병실 입원환자 수</t>
  </si>
  <si>
    <r>
      <rPr>
        <sz val="10"/>
        <color rgb="FF000000"/>
        <rFont val="맑은 고딕"/>
        <family val="3"/>
        <charset val="129"/>
      </rPr>
      <t xml:space="preserve">1) </t>
    </r>
    <r>
      <rPr>
        <sz val="10"/>
        <color rgb="FF000000"/>
        <rFont val="Noto Sans CJK SC"/>
        <family val="2"/>
      </rPr>
      <t>전용병상 입원환자  수</t>
    </r>
  </si>
  <si>
    <t>16</t>
  </si>
  <si>
    <r>
      <rPr>
        <sz val="10"/>
        <color rgb="FF000000"/>
        <rFont val="맑은 고딕"/>
        <family val="3"/>
        <charset val="129"/>
      </rPr>
      <t xml:space="preserve">2) </t>
    </r>
    <r>
      <rPr>
        <sz val="10"/>
        <color rgb="FF000000"/>
        <rFont val="Noto Sans CJK SC"/>
        <family val="2"/>
      </rPr>
      <t>비전용병상 입원환자 수</t>
    </r>
  </si>
  <si>
    <r>
      <rPr>
        <sz val="10"/>
        <color rgb="FF000000"/>
        <rFont val="Noto Sans CJK SC"/>
        <family val="2"/>
      </rPr>
      <t>전용일반병실 가동율</t>
    </r>
    <r>
      <rPr>
        <sz val="10"/>
        <color rgb="FF000000"/>
        <rFont val="맑은 고딕"/>
        <family val="3"/>
        <charset val="129"/>
      </rPr>
      <t>(%)</t>
    </r>
  </si>
  <si>
    <t>응급실</t>
  </si>
  <si>
    <t>기타현황</t>
  </si>
  <si>
    <r>
      <rPr>
        <sz val="10"/>
        <color rgb="FF000000"/>
        <rFont val="Noto Sans CJK SC"/>
        <family val="2"/>
      </rPr>
      <t>입원</t>
    </r>
    <r>
      <rPr>
        <sz val="10"/>
        <color rgb="FF000000"/>
        <rFont val="맑은 고딕"/>
        <family val="3"/>
        <charset val="129"/>
      </rPr>
      <t>+</t>
    </r>
    <r>
      <rPr>
        <sz val="10"/>
        <color rgb="FF000000"/>
        <rFont val="Noto Sans CJK SC"/>
        <family val="2"/>
      </rPr>
      <t>응급실</t>
    </r>
  </si>
  <si>
    <r>
      <rPr>
        <sz val="10"/>
        <color rgb="FF000000"/>
        <rFont val="Noto Sans CJK SC"/>
        <family val="2"/>
      </rPr>
      <t xml:space="preserve">입원대기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외래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</si>
  <si>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전일입원</t>
    </r>
    <r>
      <rPr>
        <sz val="10"/>
        <color rgb="FF000000"/>
        <rFont val="맑은 고딕"/>
        <family val="3"/>
        <charset val="129"/>
      </rPr>
      <t>*</t>
    </r>
  </si>
  <si>
    <r>
      <rPr>
        <sz val="10"/>
        <color rgb="FF000000"/>
        <rFont val="Noto Sans CJK SC"/>
        <family val="2"/>
      </rPr>
      <t>전일퇴원</t>
    </r>
    <r>
      <rPr>
        <sz val="10"/>
        <color rgb="FF000000"/>
        <rFont val="맑은 고딕"/>
        <family val="3"/>
        <charset val="129"/>
      </rPr>
      <t>*</t>
    </r>
  </si>
  <si>
    <r>
      <rPr>
        <sz val="10"/>
        <color rgb="FF000000"/>
        <rFont val="Noto Sans CJK SC"/>
        <family val="2"/>
      </rPr>
      <t>전일전원</t>
    </r>
    <r>
      <rPr>
        <sz val="10"/>
        <color rgb="FF000000"/>
        <rFont val="맑은 고딕"/>
        <family val="3"/>
        <charset val="129"/>
      </rPr>
      <t>*</t>
    </r>
  </si>
  <si>
    <t>BMT D-Day</t>
  </si>
  <si>
    <r>
      <rPr>
        <b/>
        <sz val="12"/>
        <color rgb="FFFF0000"/>
        <rFont val="맑은 고딕"/>
        <family val="3"/>
        <charset val="129"/>
      </rPr>
      <t xml:space="preserve">* </t>
    </r>
    <r>
      <rPr>
        <b/>
        <sz val="12"/>
        <color rgb="FFFF0000"/>
        <rFont val="Noto Sans CJK SC"/>
        <family val="2"/>
      </rPr>
      <t xml:space="preserve">표 </t>
    </r>
    <r>
      <rPr>
        <b/>
        <sz val="12"/>
        <color rgb="FFFF0000"/>
        <rFont val="맑은 고딕"/>
        <family val="3"/>
        <charset val="129"/>
      </rPr>
      <t>2</t>
    </r>
  </si>
  <si>
    <t>진료과</t>
  </si>
  <si>
    <t>주치의</t>
  </si>
  <si>
    <t>GW+ICU</t>
  </si>
  <si>
    <t>GW</t>
  </si>
  <si>
    <t>ICU</t>
  </si>
  <si>
    <r>
      <rPr>
        <sz val="9"/>
        <color rgb="FF333333"/>
        <rFont val="맑은 고딕"/>
        <family val="3"/>
        <charset val="129"/>
      </rPr>
      <t>18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1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</si>
  <si>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18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2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</si>
  <si>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19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1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</si>
  <si>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19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2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</si>
  <si>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20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1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</si>
  <si>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20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2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</si>
  <si>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21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1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</si>
  <si>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21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2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</si>
  <si>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7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1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</si>
  <si>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8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1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</si>
  <si>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8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2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</si>
  <si>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10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1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</si>
  <si>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10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2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</si>
  <si>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11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2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</si>
  <si>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12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1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</si>
  <si>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12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2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</si>
  <si>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13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1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</si>
  <si>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13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2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</si>
  <si>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14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1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</si>
  <si>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14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2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</si>
  <si>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15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1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</si>
  <si>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15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2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</si>
  <si>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16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1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</si>
  <si>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16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2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</si>
  <si>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17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1</t>
    </r>
    <r>
      <rPr>
        <sz val="9"/>
        <color rgb="FF333333"/>
        <rFont val="Noto Sans CJK SC"/>
        <family val="2"/>
      </rPr>
      <t>병동</t>
    </r>
  </si>
  <si>
    <r>
      <rPr>
        <sz val="9"/>
        <color rgb="FF333333"/>
        <rFont val="맑은 고딕"/>
        <family val="3"/>
        <charset val="129"/>
      </rPr>
      <t>17</t>
    </r>
    <r>
      <rPr>
        <sz val="9"/>
        <color rgb="FF333333"/>
        <rFont val="Noto Sans CJK SC"/>
        <family val="2"/>
      </rPr>
      <t>층</t>
    </r>
    <r>
      <rPr>
        <sz val="9"/>
        <color rgb="FF333333"/>
        <rFont val="맑은 고딕"/>
        <family val="3"/>
        <charset val="129"/>
      </rPr>
      <t>2</t>
    </r>
    <r>
      <rPr>
        <sz val="9"/>
        <color rgb="FF333333"/>
        <rFont val="Noto Sans CJK SC"/>
        <family val="2"/>
      </rPr>
      <t>병동</t>
    </r>
  </si>
  <si>
    <t>혈액계중환자실</t>
  </si>
  <si>
    <r>
      <rPr>
        <sz val="9"/>
        <color rgb="FF333333"/>
        <rFont val="맑은 고딕"/>
        <family val="3"/>
        <charset val="129"/>
      </rPr>
      <t>7</t>
    </r>
    <r>
      <rPr>
        <sz val="9"/>
        <color rgb="FF333333"/>
        <rFont val="Noto Sans CJK SC"/>
        <family val="2"/>
      </rPr>
      <t>층중환자실</t>
    </r>
    <r>
      <rPr>
        <sz val="9"/>
        <color rgb="FF333333"/>
        <rFont val="맑은 고딕"/>
        <family val="3"/>
        <charset val="129"/>
      </rPr>
      <t>A</t>
    </r>
  </si>
  <si>
    <r>
      <rPr>
        <sz val="9"/>
        <color rgb="FF333333"/>
        <rFont val="맑은 고딕"/>
        <family val="3"/>
        <charset val="129"/>
      </rPr>
      <t>7</t>
    </r>
    <r>
      <rPr>
        <sz val="9"/>
        <color rgb="FF333333"/>
        <rFont val="Noto Sans CJK SC"/>
        <family val="2"/>
      </rPr>
      <t>층중환자실</t>
    </r>
    <r>
      <rPr>
        <sz val="9"/>
        <color rgb="FF333333"/>
        <rFont val="맑은 고딕"/>
        <family val="3"/>
        <charset val="129"/>
      </rPr>
      <t>B</t>
    </r>
  </si>
  <si>
    <t>내과중환자실</t>
  </si>
  <si>
    <r>
      <rPr>
        <sz val="9"/>
        <color rgb="FF333333"/>
        <rFont val="Noto Sans CJK SC"/>
        <family val="2"/>
      </rPr>
      <t>내과중환자실</t>
    </r>
    <r>
      <rPr>
        <sz val="9"/>
        <color rgb="FF333333"/>
        <rFont val="맑은 고딕"/>
        <family val="3"/>
        <charset val="129"/>
      </rPr>
      <t>B</t>
    </r>
  </si>
  <si>
    <t>신경계중환자실</t>
  </si>
  <si>
    <t>심장계중환자실</t>
  </si>
  <si>
    <t>외과중환자실</t>
  </si>
  <si>
    <t>소아중환자실</t>
  </si>
  <si>
    <t>응급실재원</t>
  </si>
  <si>
    <t>내과 입전의 담당질환</t>
  </si>
  <si>
    <t>환자 수</t>
  </si>
  <si>
    <t>혈액내과</t>
  </si>
  <si>
    <t>곽대훈</t>
  </si>
  <si>
    <t>AML</t>
  </si>
  <si>
    <t>ALL</t>
  </si>
  <si>
    <t>김희제</t>
  </si>
  <si>
    <t>BMF/MPN</t>
  </si>
  <si>
    <t>남호형</t>
  </si>
  <si>
    <t>MM</t>
  </si>
  <si>
    <t>민기준</t>
  </si>
  <si>
    <t>Lymphoma</t>
  </si>
  <si>
    <t>Infection</t>
  </si>
  <si>
    <t>중환자실</t>
  </si>
  <si>
    <r>
      <rPr>
        <sz val="9"/>
        <color theme="1"/>
        <rFont val="맑은 고딕"/>
        <family val="3"/>
        <charset val="129"/>
      </rPr>
      <t xml:space="preserve">* </t>
    </r>
    <r>
      <rPr>
        <sz val="9"/>
        <color theme="1"/>
        <rFont val="Noto Sans CJK SC"/>
        <family val="2"/>
      </rPr>
      <t>임진조 환자는 반영하지 않음</t>
    </r>
  </si>
  <si>
    <r>
      <rPr>
        <sz val="9"/>
        <color theme="1"/>
        <rFont val="맑은 고딕"/>
        <family val="3"/>
        <charset val="129"/>
      </rPr>
      <t>*</t>
    </r>
    <r>
      <rPr>
        <sz val="9"/>
        <color theme="1"/>
        <rFont val="Noto Sans CJK SC"/>
        <family val="2"/>
      </rPr>
      <t>조현이추가</t>
    </r>
    <r>
      <rPr>
        <sz val="9"/>
        <color theme="1"/>
        <rFont val="맑은 고딕"/>
        <family val="3"/>
        <charset val="129"/>
      </rPr>
      <t>(12/10~)</t>
    </r>
  </si>
  <si>
    <t>변성규</t>
  </si>
  <si>
    <r>
      <rPr>
        <sz val="9"/>
        <color theme="1"/>
        <rFont val="맑은 고딕"/>
        <family val="3"/>
        <charset val="129"/>
      </rPr>
      <t xml:space="preserve">*7ICU </t>
    </r>
    <r>
      <rPr>
        <sz val="9"/>
        <color theme="1"/>
        <rFont val="Noto Sans CJK SC"/>
        <family val="2"/>
      </rPr>
      <t>추가</t>
    </r>
    <r>
      <rPr>
        <sz val="9"/>
        <color theme="1"/>
        <rFont val="맑은 고딕"/>
        <family val="3"/>
        <charset val="129"/>
      </rPr>
      <t>(12/30~)</t>
    </r>
  </si>
  <si>
    <t>엄기성</t>
  </si>
  <si>
    <r>
      <rPr>
        <sz val="9"/>
        <color theme="1"/>
        <rFont val="맑은 고딕"/>
        <family val="3"/>
        <charset val="129"/>
      </rPr>
      <t>*</t>
    </r>
    <r>
      <rPr>
        <sz val="9"/>
        <color theme="1"/>
        <rFont val="Noto Sans CJK SC"/>
        <family val="2"/>
      </rPr>
      <t>코로나코호트 종료</t>
    </r>
    <r>
      <rPr>
        <sz val="9"/>
        <color theme="1"/>
        <rFont val="맑은 고딕"/>
        <family val="3"/>
        <charset val="129"/>
      </rPr>
      <t>(26/1/7~)</t>
    </r>
  </si>
  <si>
    <t>윤재호</t>
  </si>
  <si>
    <r>
      <rPr>
        <sz val="9"/>
        <color theme="1"/>
        <rFont val="맑은 고딕"/>
        <family val="3"/>
        <charset val="129"/>
      </rPr>
      <t>2026</t>
    </r>
    <r>
      <rPr>
        <sz val="9"/>
        <color theme="1"/>
        <rFont val="Noto Sans CJK SC"/>
        <family val="2"/>
      </rPr>
      <t>년 필터교체일정</t>
    </r>
  </si>
  <si>
    <t>이성은</t>
  </si>
  <si>
    <r>
      <rPr>
        <sz val="9"/>
        <color theme="1"/>
        <rFont val="맑은 고딕"/>
        <family val="3"/>
        <charset val="129"/>
      </rPr>
      <t>201</t>
    </r>
    <r>
      <rPr>
        <sz val="9"/>
        <color theme="1"/>
        <rFont val="Noto Sans CJK SC"/>
        <family val="2"/>
      </rPr>
      <t>병동</t>
    </r>
    <r>
      <rPr>
        <sz val="9"/>
        <color theme="1"/>
        <rFont val="맑은 고딕"/>
        <family val="3"/>
        <charset val="129"/>
      </rPr>
      <t>: 1/27~2/8</t>
    </r>
  </si>
  <si>
    <t>이정연</t>
  </si>
  <si>
    <r>
      <rPr>
        <sz val="9"/>
        <color theme="1"/>
        <rFont val="맑은 고딕"/>
        <family val="3"/>
        <charset val="129"/>
      </rPr>
      <t>202</t>
    </r>
    <r>
      <rPr>
        <sz val="9"/>
        <color theme="1"/>
        <rFont val="Noto Sans CJK SC"/>
        <family val="2"/>
      </rPr>
      <t>병동</t>
    </r>
    <r>
      <rPr>
        <sz val="9"/>
        <color theme="1"/>
        <rFont val="맑은 고딕"/>
        <family val="3"/>
        <charset val="129"/>
      </rPr>
      <t>: 2/3~2/8</t>
    </r>
  </si>
  <si>
    <t>조병식</t>
  </si>
  <si>
    <r>
      <rPr>
        <sz val="9"/>
        <color theme="1"/>
        <rFont val="맑은 고딕"/>
        <family val="3"/>
        <charset val="129"/>
      </rPr>
      <t>191</t>
    </r>
    <r>
      <rPr>
        <sz val="9"/>
        <color theme="1"/>
        <rFont val="Noto Sans CJK SC"/>
        <family val="2"/>
      </rPr>
      <t>병동</t>
    </r>
    <r>
      <rPr>
        <sz val="9"/>
        <color theme="1"/>
        <rFont val="맑은 고딕"/>
        <family val="3"/>
        <charset val="129"/>
      </rPr>
      <t>: 1/20~1/22 (115,116</t>
    </r>
    <r>
      <rPr>
        <sz val="9"/>
        <color theme="1"/>
        <rFont val="Noto Sans CJK SC"/>
        <family val="2"/>
      </rPr>
      <t>호</t>
    </r>
    <r>
      <rPr>
        <sz val="9"/>
        <color theme="1"/>
        <rFont val="맑은 고딕"/>
        <family val="3"/>
        <charset val="129"/>
      </rPr>
      <t>)</t>
    </r>
  </si>
  <si>
    <t>조석구</t>
  </si>
  <si>
    <r>
      <rPr>
        <sz val="9"/>
        <color theme="1"/>
        <rFont val="맑은 고딕"/>
        <family val="3"/>
        <charset val="129"/>
      </rPr>
      <t>202</t>
    </r>
    <r>
      <rPr>
        <sz val="9"/>
        <color theme="1"/>
        <rFont val="Noto Sans CJK SC"/>
        <family val="2"/>
      </rPr>
      <t>병동화장실공사</t>
    </r>
    <r>
      <rPr>
        <sz val="9"/>
        <color theme="1"/>
        <rFont val="맑은 고딕"/>
        <family val="3"/>
        <charset val="129"/>
      </rPr>
      <t>: 2/23~2/26(1</t>
    </r>
    <r>
      <rPr>
        <sz val="9"/>
        <color theme="1"/>
        <rFont val="Noto Sans CJK SC"/>
        <family val="2"/>
      </rPr>
      <t>인실</t>
    </r>
    <r>
      <rPr>
        <sz val="9"/>
        <color theme="1"/>
        <rFont val="맑은 고딕"/>
        <family val="3"/>
        <charset val="129"/>
      </rPr>
      <t>) 3/6~7(211</t>
    </r>
    <r>
      <rPr>
        <sz val="9"/>
        <color theme="1"/>
        <rFont val="Noto Sans CJK SC"/>
        <family val="2"/>
      </rPr>
      <t>호</t>
    </r>
    <r>
      <rPr>
        <sz val="9"/>
        <color theme="1"/>
        <rFont val="맑은 고딕"/>
        <family val="3"/>
        <charset val="129"/>
      </rPr>
      <t>)</t>
    </r>
  </si>
  <si>
    <t>조현이</t>
  </si>
  <si>
    <r>
      <rPr>
        <sz val="9"/>
        <color theme="1"/>
        <rFont val="맑은 고딕"/>
        <family val="3"/>
        <charset val="129"/>
      </rPr>
      <t xml:space="preserve">*3/1 </t>
    </r>
    <r>
      <rPr>
        <sz val="9"/>
        <color theme="1"/>
        <rFont val="Noto Sans CJK SC"/>
        <family val="2"/>
      </rPr>
      <t>주치의 변경</t>
    </r>
    <r>
      <rPr>
        <sz val="9"/>
        <color theme="1"/>
        <rFont val="맑은 고딕"/>
        <family val="3"/>
        <charset val="129"/>
      </rPr>
      <t>(</t>
    </r>
    <r>
      <rPr>
        <sz val="9"/>
        <color theme="1"/>
        <rFont val="Noto Sans CJK SC"/>
        <family val="2"/>
      </rPr>
      <t>김가영민경일삭제 최윤석홍한터추가</t>
    </r>
    <r>
      <rPr>
        <sz val="9"/>
        <color theme="1"/>
        <rFont val="맑은 고딕"/>
        <family val="3"/>
        <charset val="129"/>
      </rPr>
      <t>)</t>
    </r>
  </si>
  <si>
    <t>최윤석</t>
  </si>
  <si>
    <r>
      <rPr>
        <sz val="9"/>
        <color theme="1"/>
        <rFont val="맑은 고딕"/>
        <family val="3"/>
        <charset val="129"/>
      </rPr>
      <t xml:space="preserve">*BMF/MPN </t>
    </r>
    <r>
      <rPr>
        <sz val="9"/>
        <color theme="1"/>
        <rFont val="Noto Sans CJK SC"/>
        <family val="2"/>
      </rPr>
      <t>박소연추가</t>
    </r>
    <r>
      <rPr>
        <sz val="9"/>
        <color theme="1"/>
        <rFont val="맑은 고딕"/>
        <family val="3"/>
        <charset val="129"/>
      </rPr>
      <t>(3/13~)</t>
    </r>
  </si>
  <si>
    <t>혈액내과 합계</t>
  </si>
  <si>
    <r>
      <rPr>
        <sz val="9"/>
        <color theme="1"/>
        <rFont val="맑은 고딕"/>
        <family val="3"/>
        <charset val="129"/>
      </rPr>
      <t>*ALL/infection/ICU</t>
    </r>
    <r>
      <rPr>
        <sz val="9"/>
        <color theme="1"/>
        <rFont val="Noto Sans CJK SC"/>
        <family val="2"/>
      </rPr>
      <t>환자 분리함</t>
    </r>
    <r>
      <rPr>
        <sz val="9"/>
        <color theme="1"/>
        <rFont val="맑은 고딕"/>
        <family val="3"/>
        <charset val="129"/>
      </rPr>
      <t>(4/22~)</t>
    </r>
  </si>
  <si>
    <t>감염내과</t>
  </si>
  <si>
    <t>노덕희</t>
  </si>
  <si>
    <r>
      <rPr>
        <sz val="9"/>
        <color theme="1"/>
        <rFont val="맑은 고딕"/>
        <family val="3"/>
        <charset val="129"/>
      </rPr>
      <t>*201</t>
    </r>
    <r>
      <rPr>
        <sz val="9"/>
        <color theme="1"/>
        <rFont val="Noto Sans CJK SC"/>
        <family val="2"/>
      </rPr>
      <t>병동</t>
    </r>
    <r>
      <rPr>
        <sz val="9"/>
        <color theme="1"/>
        <rFont val="맑은 고딕"/>
        <family val="3"/>
        <charset val="129"/>
      </rPr>
      <t>: 32</t>
    </r>
    <r>
      <rPr>
        <sz val="9"/>
        <color theme="1"/>
        <rFont val="Noto Sans CJK SC"/>
        <family val="2"/>
      </rPr>
      <t>병상변경</t>
    </r>
    <r>
      <rPr>
        <sz val="9"/>
        <color theme="1"/>
        <rFont val="맑은 고딕"/>
        <family val="3"/>
        <charset val="129"/>
      </rPr>
      <t>(4/28~)</t>
    </r>
  </si>
  <si>
    <t>이동건</t>
  </si>
  <si>
    <t>이래석</t>
  </si>
  <si>
    <t>조성연</t>
  </si>
  <si>
    <t>홍한터</t>
  </si>
  <si>
    <t>감염내과 합계</t>
  </si>
  <si>
    <t>소아청소년과</t>
  </si>
  <si>
    <t>유재원</t>
  </si>
  <si>
    <t>이재욱</t>
  </si>
  <si>
    <t>정낙균</t>
  </si>
  <si>
    <t>조빈</t>
  </si>
  <si>
    <t>조수정</t>
  </si>
  <si>
    <t>소아청소년과 합계</t>
  </si>
  <si>
    <t>총합계</t>
  </si>
  <si>
    <r>
      <rPr>
        <b/>
        <sz val="9"/>
        <color theme="1"/>
        <rFont val="Noto Sans CJK SC"/>
        <family val="2"/>
      </rPr>
      <t>병동별 병상가동율</t>
    </r>
    <r>
      <rPr>
        <b/>
        <sz val="9"/>
        <color theme="1"/>
        <rFont val="Dotum"/>
        <family val="3"/>
        <charset val="129"/>
      </rPr>
      <t>%
(</t>
    </r>
    <r>
      <rPr>
        <b/>
        <sz val="9"/>
        <color theme="1"/>
        <rFont val="Noto Sans CJK SC"/>
        <family val="2"/>
      </rPr>
      <t>재원수</t>
    </r>
    <r>
      <rPr>
        <b/>
        <sz val="9"/>
        <color theme="1"/>
        <rFont val="Dotum"/>
        <family val="3"/>
        <charset val="129"/>
      </rPr>
      <t>/</t>
    </r>
    <r>
      <rPr>
        <b/>
        <sz val="9"/>
        <color theme="1"/>
        <rFont val="Noto Sans CJK SC"/>
        <family val="2"/>
      </rPr>
      <t>병상</t>
    </r>
    <r>
      <rPr>
        <b/>
        <sz val="9"/>
        <color theme="1"/>
        <rFont val="Dotum"/>
        <family val="3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</si>
</sst>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/yyyy"/>
    <numFmt numFmtId="177" formatCode="0.0_ "/>
    <numFmt numFmtId="178" formatCode="0_ "/>
  </numFmts>
  <fonts count="51">
    <font>
      <sz val="12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2"/>
      <color theme="1"/>
      <name val="Noto Sans CJK SC"/>
      <family val="2"/>
    </font>
    <font>
      <sz val="8"/>
      <color theme="1"/>
      <name val="맑은 고딕"/>
      <family val="2"/>
      <charset val="129"/>
    </font>
    <font>
      <sz val="8"/>
      <color theme="1"/>
      <name val="Noto Sans CJK SC"/>
      <family val="2"/>
    </font>
    <font>
      <sz val="12"/>
      <color theme="1"/>
      <name val="맑은 고딕"/>
      <family val="3"/>
      <charset val="129"/>
    </font>
    <font>
      <sz val="12"/>
      <color rgb="FF000000"/>
      <name val="Noto Sans CJK SC"/>
      <family val="2"/>
    </font>
    <font>
      <sz val="12"/>
      <color rgb="FF000000"/>
      <name val="맑은 고딕"/>
      <family val="3"/>
      <charset val="129"/>
    </font>
    <font>
      <b/>
      <sz val="15"/>
      <color rgb="FF7C1D32"/>
      <name val="Arial"/>
      <family val="2"/>
    </font>
    <font>
      <b/>
      <sz val="15"/>
      <color rgb="FF7C1D32"/>
      <name val="Noto Sans CJK SC"/>
      <family val="2"/>
    </font>
    <font>
      <b/>
      <sz val="10"/>
      <color rgb="FF2A2A2E"/>
      <name val="Noto Sans CJK SC"/>
      <family val="2"/>
    </font>
    <font>
      <b/>
      <sz val="10"/>
      <color rgb="FF0000FF"/>
      <name val="Arial"/>
      <family val="2"/>
    </font>
    <font>
      <b/>
      <sz val="10"/>
      <color rgb="FF2A2A2E"/>
      <name val="Arial"/>
      <family val="2"/>
    </font>
    <font>
      <i/>
      <sz val="9"/>
      <color rgb="FF808080"/>
      <name val="Arial"/>
      <family val="2"/>
    </font>
    <font>
      <i/>
      <sz val="9"/>
      <color rgb="FF808080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11"/>
      <color rgb="FF7C1D32"/>
      <name val="Arial"/>
      <family val="2"/>
    </font>
    <font>
      <sz val="10"/>
      <color rgb="FF2A2A2E"/>
      <name val="Arial"/>
      <family val="2"/>
    </font>
    <font>
      <sz val="10"/>
      <color rgb="FF2A2A2E"/>
      <name val="Noto Sans CJK SC"/>
      <family val="2"/>
    </font>
    <font>
      <b/>
      <sz val="10"/>
      <color rgb="FF38761D"/>
      <name val="Arial"/>
      <family val="2"/>
    </font>
    <font>
      <b/>
      <sz val="9"/>
      <color rgb="FF2A2A2E"/>
      <name val="Noto Sans CJK SC"/>
      <family val="2"/>
    </font>
    <font>
      <b/>
      <sz val="9"/>
      <color rgb="FF2A2A2E"/>
      <name val="Arial"/>
      <family val="2"/>
    </font>
    <font>
      <b/>
      <sz val="10"/>
      <color rgb="FFA61C00"/>
      <name val="Arial"/>
      <family val="2"/>
    </font>
    <font>
      <b/>
      <sz val="10"/>
      <color rgb="FF7C1D32"/>
      <name val="Noto Sans CJK SC"/>
      <family val="2"/>
    </font>
    <font>
      <b/>
      <sz val="10"/>
      <color rgb="FF7C1D32"/>
      <name val="Arial"/>
      <family val="2"/>
    </font>
    <font>
      <sz val="9"/>
      <color rgb="FF2A2A2E"/>
      <name val="Noto Sans CJK SC"/>
      <family val="2"/>
    </font>
    <font>
      <sz val="9"/>
      <color rgb="FF2A2A2E"/>
      <name val="Arial"/>
      <family val="2"/>
    </font>
    <font>
      <b/>
      <sz val="12"/>
      <color rgb="FFFF0000"/>
      <name val="맑은 고딕"/>
      <family val="3"/>
      <charset val="129"/>
    </font>
    <font>
      <b/>
      <sz val="12"/>
      <color rgb="FFFF0000"/>
      <name val="Noto Sans CJK SC"/>
      <family val="2"/>
    </font>
    <font>
      <sz val="10"/>
      <color theme="1"/>
      <name val="맑은 고딕"/>
      <family val="3"/>
      <charset val="129"/>
    </font>
    <font>
      <sz val="10"/>
      <color theme="1"/>
      <name val="Noto Sans CJK SC"/>
      <family val="2"/>
    </font>
    <font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sz val="10"/>
      <color theme="0"/>
      <name val="Noto Sans CJK SC"/>
      <family val="2"/>
    </font>
    <font>
      <b/>
      <sz val="10"/>
      <color theme="0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color rgb="FF333333"/>
      <name val="Noto Sans CJK SC"/>
      <family val="2"/>
    </font>
    <font>
      <b/>
      <sz val="9"/>
      <color rgb="FF333333"/>
      <name val="맑은 고딕"/>
      <family val="3"/>
      <charset val="129"/>
    </font>
    <font>
      <sz val="9"/>
      <color rgb="FF333333"/>
      <name val="맑은 고딕"/>
      <family val="3"/>
      <charset val="129"/>
    </font>
    <font>
      <sz val="9"/>
      <color theme="1"/>
      <name val="Noto Sans CJK SC"/>
      <family val="2"/>
    </font>
    <font>
      <sz val="9"/>
      <color theme="1"/>
      <name val="맑은 고딕"/>
      <family val="3"/>
      <charset val="129"/>
    </font>
    <font>
      <b/>
      <sz val="9"/>
      <color theme="0"/>
      <name val="Noto Sans CJK SC"/>
      <family val="2"/>
    </font>
    <font>
      <sz val="9"/>
      <color rgb="FF000000"/>
      <name val="Noto Sans CJK SC"/>
      <family val="2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00"/>
      <name val="Noto Sans CJK SC"/>
      <family val="2"/>
    </font>
    <font>
      <b/>
      <sz val="9"/>
      <color theme="1"/>
      <name val="Noto Sans CJK SC"/>
      <family val="2"/>
    </font>
    <font>
      <b/>
      <sz val="9"/>
      <color theme="1"/>
      <name val="Dotum"/>
      <family val="3"/>
      <charset val="129"/>
    </font>
    <font>
      <sz val="8"/>
      <name val="맑은 고딕"/>
      <family val="2"/>
      <charset val="129"/>
    </font>
  </fonts>
  <fills count="20">
    <fill>
      <patternFill patternType="none"/>
    </fill>
    <fill>
      <patternFill patternType="gray125"/>
    </fill>
    <fill>
      <patternFill patternType="solid">
        <fgColor theme="9" tint="0.79989013336588644"/>
        <bgColor rgb="FFD9EAD3"/>
      </patternFill>
    </fill>
    <fill>
      <patternFill patternType="solid">
        <fgColor rgb="FFFFFF00"/>
        <bgColor rgb="FFFFCC00"/>
      </patternFill>
    </fill>
    <fill>
      <patternFill patternType="solid">
        <fgColor theme="5" tint="0.79989013336588644"/>
        <bgColor rgb="FFFBEFD3"/>
      </patternFill>
    </fill>
    <fill>
      <patternFill patternType="solid">
        <fgColor theme="3" tint="0.89989928891872917"/>
        <bgColor rgb="FFE8EDF3"/>
      </patternFill>
    </fill>
    <fill>
      <patternFill patternType="solid">
        <fgColor rgb="FFFFF2CC"/>
        <bgColor rgb="FFFBEFD3"/>
      </patternFill>
    </fill>
    <fill>
      <patternFill patternType="solid">
        <fgColor rgb="FF7C1D32"/>
        <bgColor rgb="FF800000"/>
      </patternFill>
    </fill>
    <fill>
      <patternFill patternType="solid">
        <fgColor rgb="FFD6EAD9"/>
        <bgColor rgb="FFD9EAD3"/>
      </patternFill>
    </fill>
    <fill>
      <patternFill patternType="solid">
        <fgColor rgb="FFD9EAD3"/>
        <bgColor rgb="FFD6EAD9"/>
      </patternFill>
    </fill>
    <fill>
      <patternFill patternType="solid">
        <fgColor rgb="FFFBEFD3"/>
        <bgColor rgb="FFFFF2CC"/>
      </patternFill>
    </fill>
    <fill>
      <patternFill patternType="solid">
        <fgColor rgb="FFF4CCCC"/>
        <bgColor rgb="FFD9D9D9"/>
      </patternFill>
    </fill>
    <fill>
      <patternFill patternType="solid">
        <fgColor rgb="FFE8EDF3"/>
        <bgColor rgb="FFF2F2F2"/>
      </patternFill>
    </fill>
    <fill>
      <patternFill patternType="solid">
        <fgColor rgb="FFF2F2F2"/>
        <bgColor rgb="FFE8EDF3"/>
      </patternFill>
    </fill>
    <fill>
      <patternFill patternType="solid">
        <fgColor theme="3"/>
        <bgColor rgb="FF2A2A2E"/>
      </patternFill>
    </fill>
    <fill>
      <patternFill patternType="solid">
        <fgColor theme="5"/>
        <bgColor rgb="FFFF8080"/>
      </patternFill>
    </fill>
    <fill>
      <patternFill patternType="solid">
        <fgColor theme="0" tint="-0.34998626667073579"/>
        <bgColor rgb="FF9999FF"/>
      </patternFill>
    </fill>
    <fill>
      <patternFill patternType="solid">
        <fgColor theme="0" tint="-0.14999847407452621"/>
        <bgColor rgb="FFD6EAD9"/>
      </patternFill>
    </fill>
    <fill>
      <patternFill patternType="solid">
        <fgColor theme="4" tint="-0.249977111117893"/>
        <bgColor rgb="FF0E2841"/>
      </patternFill>
    </fill>
    <fill>
      <patternFill patternType="solid">
        <fgColor theme="4" tint="0.79989013336588644"/>
        <bgColor rgb="FFD6EA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5">
    <xf numFmtId="0" fontId="0" fillId="0" borderId="0" xfId="0">
      <alignment vertical="center"/>
    </xf>
    <xf numFmtId="177" fontId="48" fillId="0" borderId="1" xfId="0" applyNumberFormat="1" applyFont="1" applyBorder="1" applyAlignment="1">
      <alignment horizontal="center" vertical="center" wrapText="1"/>
    </xf>
    <xf numFmtId="49" fontId="47" fillId="0" borderId="1" xfId="0" applyNumberFormat="1" applyFont="1" applyBorder="1" applyAlignment="1">
      <alignment horizontal="center" vertical="center" wrapText="1"/>
    </xf>
    <xf numFmtId="49" fontId="47" fillId="3" borderId="1" xfId="0" applyNumberFormat="1" applyFont="1" applyFill="1" applyBorder="1" applyAlignment="1">
      <alignment horizontal="center" vertical="center" wrapText="1"/>
    </xf>
    <xf numFmtId="0" fontId="33" fillId="0" borderId="1" xfId="1" applyFont="1" applyBorder="1" applyAlignment="1">
      <alignment horizontal="center" vertical="center" wrapText="1" readingOrder="1"/>
    </xf>
    <xf numFmtId="0" fontId="32" fillId="0" borderId="1" xfId="1" applyFont="1" applyBorder="1" applyAlignment="1">
      <alignment horizontal="center" vertical="center" wrapText="1" readingOrder="1"/>
    </xf>
    <xf numFmtId="0" fontId="14" fillId="0" borderId="0" xfId="0" applyFont="1" applyAlignment="1"/>
    <xf numFmtId="0" fontId="26" fillId="0" borderId="0" xfId="0" applyFont="1" applyAlignment="1">
      <alignment horizontal="left" vertical="center"/>
    </xf>
    <xf numFmtId="0" fontId="8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10" fillId="0" borderId="0" xfId="0" applyFont="1" applyAlignment="1"/>
    <xf numFmtId="0" fontId="11" fillId="6" borderId="0" xfId="0" applyFont="1" applyFill="1" applyAlignment="1">
      <alignment horizontal="center"/>
    </xf>
    <xf numFmtId="0" fontId="13" fillId="0" borderId="0" xfId="0" applyFont="1" applyAlignment="1"/>
    <xf numFmtId="0" fontId="15" fillId="7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left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left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23" fillId="11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9" fillId="12" borderId="2" xfId="0" applyFont="1" applyFill="1" applyBorder="1" applyAlignment="1">
      <alignment horizontal="left" vertical="center" wrapText="1"/>
    </xf>
    <xf numFmtId="0" fontId="19" fillId="12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21" fillId="12" borderId="2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left" vertical="center" wrapText="1"/>
    </xf>
    <xf numFmtId="0" fontId="17" fillId="13" borderId="2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left" vertical="center" wrapText="1"/>
    </xf>
    <xf numFmtId="0" fontId="19" fillId="13" borderId="2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24" fillId="0" borderId="0" xfId="0" applyFont="1" applyAlignment="1"/>
    <xf numFmtId="0" fontId="21" fillId="8" borderId="2" xfId="0" applyFont="1" applyFill="1" applyBorder="1" applyAlignment="1"/>
    <xf numFmtId="0" fontId="21" fillId="10" borderId="2" xfId="0" applyFont="1" applyFill="1" applyBorder="1" applyAlignment="1"/>
    <xf numFmtId="0" fontId="21" fillId="12" borderId="2" xfId="0" applyFont="1" applyFill="1" applyBorder="1" applyAlignment="1"/>
    <xf numFmtId="0" fontId="21" fillId="13" borderId="2" xfId="0" applyFont="1" applyFill="1" applyBorder="1" applyAlignment="1"/>
    <xf numFmtId="0" fontId="25" fillId="0" borderId="0" xfId="0" applyFont="1" applyAlignment="1"/>
    <xf numFmtId="0" fontId="21" fillId="9" borderId="2" xfId="0" applyFont="1" applyFill="1" applyBorder="1" applyAlignment="1"/>
    <xf numFmtId="0" fontId="21" fillId="11" borderId="2" xfId="0" applyFont="1" applyFill="1" applyBorder="1" applyAlignment="1"/>
    <xf numFmtId="0" fontId="28" fillId="0" borderId="0" xfId="0" applyFont="1" applyAlignment="1">
      <alignment horizontal="left" vertical="center"/>
    </xf>
    <xf numFmtId="0" fontId="30" fillId="0" borderId="0" xfId="1" applyFont="1">
      <alignment vertical="center"/>
    </xf>
    <xf numFmtId="0" fontId="30" fillId="0" borderId="0" xfId="1" applyFont="1" applyAlignment="1">
      <alignment horizontal="center" vertical="center" readingOrder="1"/>
    </xf>
    <xf numFmtId="0" fontId="30" fillId="0" borderId="0" xfId="1" applyFont="1" applyAlignment="1">
      <alignment horizontal="center" vertical="center"/>
    </xf>
    <xf numFmtId="176" fontId="30" fillId="0" borderId="0" xfId="1" applyNumberFormat="1" applyFont="1" applyAlignment="1">
      <alignment horizontal="right" vertical="center"/>
    </xf>
    <xf numFmtId="0" fontId="31" fillId="0" borderId="1" xfId="1" applyFont="1" applyBorder="1" applyAlignment="1">
      <alignment horizontal="center" vertical="center" wrapText="1" readingOrder="1"/>
    </xf>
    <xf numFmtId="0" fontId="33" fillId="0" borderId="1" xfId="1" applyFont="1" applyBorder="1" applyAlignment="1">
      <alignment horizontal="center" vertical="center" wrapText="1" readingOrder="1"/>
    </xf>
    <xf numFmtId="0" fontId="34" fillId="14" borderId="1" xfId="1" applyFont="1" applyFill="1" applyBorder="1" applyAlignment="1">
      <alignment horizontal="left" vertical="center" wrapText="1" readingOrder="1"/>
    </xf>
    <xf numFmtId="0" fontId="35" fillId="14" borderId="1" xfId="1" applyFont="1" applyFill="1" applyBorder="1" applyAlignment="1">
      <alignment horizontal="center" vertical="center" readingOrder="1"/>
    </xf>
    <xf numFmtId="0" fontId="35" fillId="14" borderId="1" xfId="0" applyFont="1" applyFill="1" applyBorder="1" applyAlignment="1">
      <alignment horizontal="center" vertical="center" wrapText="1" readingOrder="1"/>
    </xf>
    <xf numFmtId="0" fontId="33" fillId="15" borderId="1" xfId="1" applyFont="1" applyFill="1" applyBorder="1" applyAlignment="1">
      <alignment horizontal="left" vertical="center" wrapText="1" readingOrder="1"/>
    </xf>
    <xf numFmtId="0" fontId="32" fillId="15" borderId="1" xfId="1" applyFont="1" applyFill="1" applyBorder="1" applyAlignment="1">
      <alignment horizontal="center" vertical="center" wrapText="1" readingOrder="1"/>
    </xf>
    <xf numFmtId="0" fontId="32" fillId="15" borderId="1" xfId="0" applyFont="1" applyFill="1" applyBorder="1" applyAlignment="1">
      <alignment horizontal="center" vertical="center" wrapText="1" readingOrder="1"/>
    </xf>
    <xf numFmtId="0" fontId="33" fillId="3" borderId="1" xfId="1" applyFont="1" applyFill="1" applyBorder="1" applyAlignment="1">
      <alignment horizontal="left" vertical="center" wrapText="1" readingOrder="1"/>
    </xf>
    <xf numFmtId="177" fontId="32" fillId="3" borderId="1" xfId="1" applyNumberFormat="1" applyFont="1" applyFill="1" applyBorder="1" applyAlignment="1">
      <alignment horizontal="center" vertical="center" wrapText="1" readingOrder="1"/>
    </xf>
    <xf numFmtId="177" fontId="32" fillId="3" borderId="1" xfId="0" applyNumberFormat="1" applyFont="1" applyFill="1" applyBorder="1" applyAlignment="1">
      <alignment horizontal="center" vertical="center" wrapText="1" readingOrder="1"/>
    </xf>
    <xf numFmtId="0" fontId="31" fillId="0" borderId="1" xfId="1" applyFont="1" applyBorder="1">
      <alignment vertical="center"/>
    </xf>
    <xf numFmtId="0" fontId="30" fillId="0" borderId="1" xfId="1" applyFont="1" applyBorder="1" applyAlignment="1">
      <alignment horizontal="center" vertical="center" readingOrder="1"/>
    </xf>
    <xf numFmtId="0" fontId="30" fillId="0" borderId="1" xfId="0" applyFont="1" applyBorder="1" applyAlignment="1">
      <alignment horizontal="center" vertical="center"/>
    </xf>
    <xf numFmtId="177" fontId="30" fillId="3" borderId="1" xfId="1" applyNumberFormat="1" applyFont="1" applyFill="1" applyBorder="1" applyAlignment="1">
      <alignment horizontal="center" vertical="center" readingOrder="1"/>
    </xf>
    <xf numFmtId="0" fontId="33" fillId="0" borderId="1" xfId="1" applyFont="1" applyBorder="1" applyAlignment="1">
      <alignment horizontal="left" vertical="center" wrapText="1" readingOrder="1"/>
    </xf>
    <xf numFmtId="0" fontId="32" fillId="0" borderId="1" xfId="0" applyFont="1" applyBorder="1" applyAlignment="1">
      <alignment horizontal="center" vertical="center" wrapText="1" readingOrder="1"/>
    </xf>
    <xf numFmtId="49" fontId="32" fillId="0" borderId="1" xfId="0" applyNumberFormat="1" applyFont="1" applyBorder="1" applyAlignment="1">
      <alignment horizontal="center" vertical="center" wrapText="1" readingOrder="1"/>
    </xf>
    <xf numFmtId="178" fontId="32" fillId="0" borderId="1" xfId="1" applyNumberFormat="1" applyFont="1" applyBorder="1" applyAlignment="1">
      <alignment horizontal="center" vertical="center" wrapText="1" readingOrder="1"/>
    </xf>
    <xf numFmtId="177" fontId="32" fillId="16" borderId="1" xfId="1" applyNumberFormat="1" applyFont="1" applyFill="1" applyBorder="1" applyAlignment="1">
      <alignment horizontal="center" vertical="center" wrapText="1" readingOrder="1"/>
    </xf>
    <xf numFmtId="0" fontId="32" fillId="0" borderId="1" xfId="1" applyFont="1" applyBorder="1" applyAlignment="1">
      <alignment horizontal="left" vertical="center" wrapText="1" readingOrder="1"/>
    </xf>
    <xf numFmtId="0" fontId="32" fillId="0" borderId="0" xfId="1" applyFont="1" applyAlignment="1">
      <alignment horizontal="left" vertical="center" wrapText="1" readingOrder="1"/>
    </xf>
    <xf numFmtId="0" fontId="36" fillId="0" borderId="0" xfId="0" applyFont="1">
      <alignment vertical="center"/>
    </xf>
    <xf numFmtId="0" fontId="28" fillId="0" borderId="0" xfId="0" applyFont="1">
      <alignment vertical="center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17" borderId="1" xfId="0" applyFont="1" applyFill="1" applyBorder="1" applyAlignment="1">
      <alignment horizontal="center" vertical="center" wrapText="1"/>
    </xf>
    <xf numFmtId="0" fontId="41" fillId="0" borderId="0" xfId="0" applyFont="1">
      <alignment vertical="center"/>
    </xf>
    <xf numFmtId="0" fontId="42" fillId="18" borderId="1" xfId="0" applyFont="1" applyFill="1" applyBorder="1" applyAlignment="1">
      <alignment horizontal="center" vertical="center" wrapText="1"/>
    </xf>
    <xf numFmtId="0" fontId="42" fillId="18" borderId="1" xfId="0" applyFont="1" applyFill="1" applyBorder="1" applyAlignment="1">
      <alignment horizontal="center" vertical="center"/>
    </xf>
    <xf numFmtId="49" fontId="43" fillId="0" borderId="1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49" fontId="43" fillId="0" borderId="3" xfId="0" applyNumberFormat="1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40" fillId="19" borderId="1" xfId="0" applyFont="1" applyFill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4" fillId="3" borderId="3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 wrapText="1"/>
    </xf>
    <xf numFmtId="0" fontId="44" fillId="0" borderId="4" xfId="0" applyFont="1" applyBorder="1" applyAlignment="1">
      <alignment horizontal="center" vertical="center" wrapText="1"/>
    </xf>
    <xf numFmtId="0" fontId="46" fillId="17" borderId="1" xfId="0" applyFont="1" applyFill="1" applyBorder="1" applyAlignment="1">
      <alignment horizontal="center" vertical="center"/>
    </xf>
    <xf numFmtId="177" fontId="46" fillId="19" borderId="1" xfId="0" applyNumberFormat="1" applyFont="1" applyFill="1" applyBorder="1" applyAlignment="1">
      <alignment horizontal="center" vertical="center"/>
    </xf>
    <xf numFmtId="0" fontId="46" fillId="19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C1D32"/>
      <rgbColor rgb="FF38761D"/>
      <rgbColor rgb="FF000080"/>
      <rgbColor rgb="FF808000"/>
      <rgbColor rgb="FF800080"/>
      <rgbColor rgb="FF008080"/>
      <rgbColor rgb="FFD6EAD9"/>
      <rgbColor rgb="FF808080"/>
      <rgbColor rgb="FF9999FF"/>
      <rgbColor rgb="FF993366"/>
      <rgbColor rgb="FFFFF2CC"/>
      <rgbColor rgb="FFDCEAF7"/>
      <rgbColor rgb="FF660066"/>
      <rgbColor rgb="FFFF8080"/>
      <rgbColor rgb="FF0066CC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8EDF3"/>
      <rgbColor rgb="FFD9F2D0"/>
      <rgbColor rgb="FFFBEFD3"/>
      <rgbColor rgb="FFC1E5F5"/>
      <rgbColor rgb="FFFBE3D6"/>
      <rgbColor rgb="FFD9EAD3"/>
      <rgbColor rgb="FFF4CCCC"/>
      <rgbColor rgb="FF3366FF"/>
      <rgbColor rgb="FF33CCCC"/>
      <rgbColor rgb="FF99CC00"/>
      <rgbColor rgb="FFFFCC00"/>
      <rgbColor rgb="FFFF9900"/>
      <rgbColor rgb="FFE97132"/>
      <rgbColor rgb="FF666699"/>
      <rgbColor rgb="FFA6A6A6"/>
      <rgbColor rgb="FF0E2841"/>
      <rgbColor rgb="FF339966"/>
      <rgbColor rgb="FF003300"/>
      <rgbColor rgb="FF2A2A2E"/>
      <rgbColor rgb="FFA61C00"/>
      <rgbColor rgb="FF993366"/>
      <rgbColor rgb="FF104862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zoomScale="96" zoomScaleNormal="96" workbookViewId="0">
      <selection activeCell="H10" sqref="H10"/>
    </sheetView>
  </sheetViews>
  <sheetFormatPr baseColWidth="10" defaultColWidth="11.5703125" defaultRowHeight="18"/>
  <cols>
    <col min="1" max="1" width="10.7109375" style="9" customWidth="1"/>
    <col min="3" max="3" width="10.85546875" style="10" customWidth="1"/>
    <col min="4" max="4" width="54.85546875" style="11" customWidth="1"/>
    <col min="5" max="5" width="44.7109375" style="11" customWidth="1"/>
    <col min="6" max="6" width="23.42578125" style="11" customWidth="1"/>
    <col min="7" max="7" width="26.28515625" style="11" customWidth="1"/>
    <col min="8" max="8" width="21.85546875" style="11" customWidth="1"/>
    <col min="9" max="9" width="12.28515625" style="11" customWidth="1"/>
  </cols>
  <sheetData>
    <row r="1" spans="1:9" ht="45" customHeight="1">
      <c r="A1" s="12"/>
      <c r="B1" s="13" t="s">
        <v>0</v>
      </c>
      <c r="C1" s="14" t="s">
        <v>1</v>
      </c>
      <c r="D1" s="15"/>
      <c r="E1" s="15"/>
      <c r="F1" s="16" t="s">
        <v>2</v>
      </c>
      <c r="G1" s="16" t="s">
        <v>3</v>
      </c>
      <c r="H1" s="16" t="s">
        <v>4</v>
      </c>
      <c r="I1" s="13"/>
    </row>
    <row r="2" spans="1:9" s="9" customFormat="1">
      <c r="A2" s="17" t="s">
        <v>5</v>
      </c>
      <c r="B2" s="17" t="s">
        <v>6</v>
      </c>
      <c r="C2" s="18" t="s">
        <v>5</v>
      </c>
      <c r="D2" s="17" t="s">
        <v>7</v>
      </c>
      <c r="E2" s="17" t="s">
        <v>8</v>
      </c>
      <c r="F2" s="19" t="s">
        <v>9</v>
      </c>
      <c r="G2" s="19" t="s">
        <v>10</v>
      </c>
      <c r="H2" s="19" t="s">
        <v>11</v>
      </c>
      <c r="I2" s="19" t="s">
        <v>12</v>
      </c>
    </row>
    <row r="3" spans="1:9" ht="24" customHeight="1">
      <c r="A3" s="20" t="s">
        <v>13</v>
      </c>
      <c r="B3" s="21" t="s">
        <v>14</v>
      </c>
      <c r="C3" s="22" t="s">
        <v>15</v>
      </c>
      <c r="D3" s="21" t="s">
        <v>16</v>
      </c>
      <c r="E3" s="21" t="s">
        <v>17</v>
      </c>
      <c r="F3" s="13"/>
      <c r="G3" s="13"/>
      <c r="H3" s="13" t="s">
        <v>18</v>
      </c>
      <c r="I3" s="13"/>
    </row>
    <row r="4" spans="1:9" ht="34.5" customHeight="1">
      <c r="A4" s="20" t="s">
        <v>13</v>
      </c>
      <c r="B4" s="21" t="s">
        <v>19</v>
      </c>
      <c r="C4" s="22" t="s">
        <v>20</v>
      </c>
      <c r="D4" s="21" t="s">
        <v>21</v>
      </c>
      <c r="E4" s="23" t="s">
        <v>22</v>
      </c>
      <c r="F4" s="13"/>
      <c r="G4" s="13"/>
      <c r="H4" s="13" t="s">
        <v>18</v>
      </c>
      <c r="I4" s="13"/>
    </row>
    <row r="5" spans="1:9" ht="42.75" customHeight="1">
      <c r="A5" s="20" t="s">
        <v>13</v>
      </c>
      <c r="B5" s="21" t="s">
        <v>23</v>
      </c>
      <c r="C5" s="24" t="s">
        <v>24</v>
      </c>
      <c r="D5" s="25" t="s">
        <v>25</v>
      </c>
      <c r="E5" s="25" t="s">
        <v>26</v>
      </c>
      <c r="F5" s="26" t="s">
        <v>27</v>
      </c>
      <c r="G5" s="26"/>
      <c r="H5" s="26"/>
      <c r="I5" s="26"/>
    </row>
    <row r="6" spans="1:9" ht="27" customHeight="1">
      <c r="A6" s="20" t="s">
        <v>13</v>
      </c>
      <c r="B6" s="21" t="s">
        <v>23</v>
      </c>
      <c r="C6" s="24" t="s">
        <v>24</v>
      </c>
      <c r="D6" s="21" t="s">
        <v>28</v>
      </c>
      <c r="E6" s="25"/>
      <c r="F6" s="26"/>
      <c r="G6" s="26"/>
      <c r="H6" s="26"/>
      <c r="I6" s="26"/>
    </row>
    <row r="7" spans="1:9" ht="34.5" customHeight="1">
      <c r="A7" s="20" t="s">
        <v>13</v>
      </c>
      <c r="B7" s="21" t="s">
        <v>29</v>
      </c>
      <c r="C7" s="24" t="s">
        <v>24</v>
      </c>
      <c r="D7" s="21" t="s">
        <v>30</v>
      </c>
      <c r="E7" s="23" t="s">
        <v>31</v>
      </c>
      <c r="F7" s="26" t="s">
        <v>26</v>
      </c>
      <c r="G7" s="26"/>
      <c r="H7" s="13" t="s">
        <v>32</v>
      </c>
      <c r="I7" s="26"/>
    </row>
    <row r="8" spans="1:9" ht="51.75" customHeight="1">
      <c r="A8" s="20" t="s">
        <v>13</v>
      </c>
      <c r="B8" s="21" t="s">
        <v>19</v>
      </c>
      <c r="C8" s="22" t="s">
        <v>33</v>
      </c>
      <c r="D8" s="21" t="s">
        <v>34</v>
      </c>
      <c r="E8" s="23" t="s">
        <v>35</v>
      </c>
      <c r="F8" s="26"/>
      <c r="G8" s="26"/>
      <c r="H8" s="26"/>
      <c r="I8" s="26"/>
    </row>
    <row r="9" spans="1:9" ht="34.5" customHeight="1">
      <c r="A9" s="20" t="s">
        <v>13</v>
      </c>
      <c r="B9" s="21" t="s">
        <v>23</v>
      </c>
      <c r="C9" s="22" t="s">
        <v>36</v>
      </c>
      <c r="D9" s="25" t="s">
        <v>37</v>
      </c>
      <c r="E9" s="27" t="s">
        <v>38</v>
      </c>
      <c r="F9" s="26" t="s">
        <v>26</v>
      </c>
      <c r="G9" s="26"/>
      <c r="H9" s="26"/>
      <c r="I9" s="26"/>
    </row>
    <row r="10" spans="1:9" ht="86.25" customHeight="1">
      <c r="A10" s="20" t="s">
        <v>13</v>
      </c>
      <c r="B10" s="21" t="s">
        <v>19</v>
      </c>
      <c r="C10" s="22" t="s">
        <v>39</v>
      </c>
      <c r="D10" s="27" t="s">
        <v>40</v>
      </c>
      <c r="E10" s="23" t="s">
        <v>41</v>
      </c>
      <c r="F10" s="26" t="s">
        <v>42</v>
      </c>
      <c r="G10" s="28" t="s">
        <v>43</v>
      </c>
      <c r="H10" s="26"/>
      <c r="I10" s="26"/>
    </row>
    <row r="11" spans="1:9" ht="21.75" customHeight="1">
      <c r="A11" s="20" t="s">
        <v>13</v>
      </c>
      <c r="B11" s="21" t="s">
        <v>44</v>
      </c>
      <c r="C11" s="22" t="s">
        <v>15</v>
      </c>
      <c r="D11" s="23" t="s">
        <v>45</v>
      </c>
      <c r="E11" s="27" t="s">
        <v>46</v>
      </c>
      <c r="F11" s="26"/>
      <c r="G11" s="28"/>
      <c r="H11" s="26"/>
      <c r="I11" s="26"/>
    </row>
    <row r="12" spans="1:9">
      <c r="A12" s="29"/>
      <c r="B12" s="30"/>
      <c r="C12" s="31"/>
      <c r="D12" s="32"/>
      <c r="E12" s="32"/>
      <c r="F12" s="26"/>
      <c r="G12" s="28"/>
      <c r="H12" s="26"/>
      <c r="I12" s="26"/>
    </row>
    <row r="13" spans="1:9" ht="32.25" customHeight="1">
      <c r="A13" s="12">
        <v>1</v>
      </c>
      <c r="B13" s="33" t="s">
        <v>47</v>
      </c>
      <c r="C13" s="34" t="s">
        <v>15</v>
      </c>
      <c r="D13" s="13" t="s">
        <v>48</v>
      </c>
      <c r="E13" s="28" t="s">
        <v>49</v>
      </c>
      <c r="F13" s="26"/>
      <c r="G13" s="26"/>
      <c r="H13" s="26">
        <v>24</v>
      </c>
      <c r="I13" s="13" t="s">
        <v>50</v>
      </c>
    </row>
    <row r="14" spans="1:9" ht="37.5" customHeight="1">
      <c r="A14" s="12">
        <v>2</v>
      </c>
      <c r="B14" s="33" t="s">
        <v>51</v>
      </c>
      <c r="C14" s="35" t="s">
        <v>20</v>
      </c>
      <c r="D14" s="36" t="s">
        <v>52</v>
      </c>
      <c r="E14" s="36" t="s">
        <v>53</v>
      </c>
      <c r="F14" s="26"/>
      <c r="G14" s="26"/>
      <c r="H14" s="26">
        <v>23</v>
      </c>
      <c r="I14" s="13" t="s">
        <v>54</v>
      </c>
    </row>
    <row r="15" spans="1:9" ht="30.75" customHeight="1">
      <c r="A15" s="12">
        <v>3</v>
      </c>
      <c r="B15" s="33" t="s">
        <v>29</v>
      </c>
      <c r="C15" s="35" t="s">
        <v>24</v>
      </c>
      <c r="D15" s="26" t="s">
        <v>55</v>
      </c>
      <c r="E15" s="26" t="s">
        <v>56</v>
      </c>
      <c r="F15" s="26"/>
      <c r="G15" s="26"/>
      <c r="H15" s="26">
        <v>21</v>
      </c>
      <c r="I15" s="13" t="s">
        <v>50</v>
      </c>
    </row>
    <row r="16" spans="1:9" ht="34.5" customHeight="1">
      <c r="A16" s="12">
        <v>4</v>
      </c>
      <c r="B16" s="33" t="s">
        <v>29</v>
      </c>
      <c r="C16" s="35" t="s">
        <v>57</v>
      </c>
      <c r="D16" s="26" t="s">
        <v>37</v>
      </c>
      <c r="E16" s="26"/>
      <c r="F16" s="26"/>
      <c r="G16" s="26"/>
      <c r="H16" s="26">
        <v>20</v>
      </c>
      <c r="I16" s="13" t="s">
        <v>58</v>
      </c>
    </row>
    <row r="17" spans="1:9" ht="33.75" customHeight="1">
      <c r="A17" s="12">
        <v>5</v>
      </c>
      <c r="B17" s="33" t="s">
        <v>29</v>
      </c>
      <c r="C17" s="35" t="s">
        <v>57</v>
      </c>
      <c r="D17" s="26" t="s">
        <v>59</v>
      </c>
      <c r="E17" s="26"/>
      <c r="F17" s="26"/>
      <c r="G17" s="26"/>
      <c r="H17" s="26">
        <v>26</v>
      </c>
      <c r="I17" s="13" t="s">
        <v>50</v>
      </c>
    </row>
    <row r="18" spans="1:9" ht="57.75" customHeight="1">
      <c r="A18" s="12">
        <v>6</v>
      </c>
      <c r="B18" s="33" t="s">
        <v>29</v>
      </c>
      <c r="C18" s="35" t="s">
        <v>57</v>
      </c>
      <c r="D18" s="28" t="s">
        <v>60</v>
      </c>
      <c r="E18" s="26"/>
      <c r="F18" s="26"/>
      <c r="G18" s="26"/>
      <c r="H18" s="26">
        <v>7</v>
      </c>
      <c r="I18" s="13" t="s">
        <v>58</v>
      </c>
    </row>
    <row r="19" spans="1:9" ht="103.5" customHeight="1">
      <c r="A19" s="12">
        <v>7</v>
      </c>
      <c r="B19" s="33" t="s">
        <v>61</v>
      </c>
      <c r="C19" s="35" t="s">
        <v>20</v>
      </c>
      <c r="D19" s="28" t="s">
        <v>62</v>
      </c>
      <c r="E19" s="28" t="s">
        <v>63</v>
      </c>
      <c r="F19" s="26"/>
      <c r="G19" s="26"/>
      <c r="H19" s="26">
        <v>1</v>
      </c>
      <c r="I19" s="13" t="s">
        <v>58</v>
      </c>
    </row>
    <row r="20" spans="1:9" ht="138" customHeight="1">
      <c r="A20" s="12">
        <v>8</v>
      </c>
      <c r="B20" s="33" t="s">
        <v>61</v>
      </c>
      <c r="C20" s="35" t="s">
        <v>20</v>
      </c>
      <c r="D20" s="28" t="s">
        <v>64</v>
      </c>
      <c r="E20" s="13" t="s">
        <v>65</v>
      </c>
      <c r="F20" s="26"/>
      <c r="G20" s="26"/>
      <c r="H20" s="26">
        <v>2</v>
      </c>
      <c r="I20" s="13" t="s">
        <v>58</v>
      </c>
    </row>
    <row r="21" spans="1:9" ht="39" customHeight="1">
      <c r="A21" s="12">
        <v>9</v>
      </c>
      <c r="B21" s="33" t="s">
        <v>61</v>
      </c>
      <c r="C21" s="35" t="s">
        <v>20</v>
      </c>
      <c r="D21" s="36" t="s">
        <v>66</v>
      </c>
      <c r="E21" s="13" t="s">
        <v>67</v>
      </c>
      <c r="F21" s="26"/>
      <c r="G21" s="26"/>
      <c r="H21" s="26">
        <v>12</v>
      </c>
      <c r="I21" s="13" t="s">
        <v>68</v>
      </c>
    </row>
    <row r="22" spans="1:9" ht="54" customHeight="1">
      <c r="A22" s="12">
        <v>10</v>
      </c>
      <c r="B22" s="33" t="s">
        <v>61</v>
      </c>
      <c r="C22" s="35" t="s">
        <v>20</v>
      </c>
      <c r="D22" s="28" t="s">
        <v>69</v>
      </c>
      <c r="E22" s="13" t="s">
        <v>70</v>
      </c>
      <c r="F22" s="26"/>
      <c r="G22" s="26"/>
      <c r="H22" s="26">
        <v>13</v>
      </c>
      <c r="I22" s="13" t="s">
        <v>68</v>
      </c>
    </row>
    <row r="23" spans="1:9" ht="51.75" customHeight="1">
      <c r="A23" s="12">
        <v>11</v>
      </c>
      <c r="B23" s="33" t="s">
        <v>61</v>
      </c>
      <c r="C23" s="35" t="s">
        <v>20</v>
      </c>
      <c r="D23" s="28" t="s">
        <v>71</v>
      </c>
      <c r="E23" s="13" t="s">
        <v>72</v>
      </c>
      <c r="F23" s="26"/>
      <c r="G23" s="26"/>
      <c r="H23" s="26">
        <v>14</v>
      </c>
      <c r="I23" s="13" t="s">
        <v>68</v>
      </c>
    </row>
    <row r="24" spans="1:9" ht="36" customHeight="1">
      <c r="A24" s="12">
        <v>12</v>
      </c>
      <c r="B24" s="33" t="s">
        <v>61</v>
      </c>
      <c r="C24" s="35" t="s">
        <v>20</v>
      </c>
      <c r="D24" s="13" t="s">
        <v>73</v>
      </c>
      <c r="E24" s="13" t="s">
        <v>65</v>
      </c>
      <c r="F24" s="26"/>
      <c r="G24" s="26"/>
      <c r="H24" s="26">
        <v>3</v>
      </c>
      <c r="I24" s="13" t="s">
        <v>58</v>
      </c>
    </row>
    <row r="25" spans="1:9" ht="32.25" customHeight="1">
      <c r="A25" s="12">
        <v>13</v>
      </c>
      <c r="B25" s="33" t="s">
        <v>74</v>
      </c>
      <c r="C25" s="35" t="s">
        <v>15</v>
      </c>
      <c r="D25" s="28" t="s">
        <v>75</v>
      </c>
      <c r="E25" s="13" t="s">
        <v>76</v>
      </c>
      <c r="F25" s="26"/>
      <c r="G25" s="26"/>
      <c r="H25" s="26">
        <v>15</v>
      </c>
      <c r="I25" s="13" t="s">
        <v>68</v>
      </c>
    </row>
    <row r="26" spans="1:9" ht="34.5" customHeight="1">
      <c r="A26" s="12">
        <v>14</v>
      </c>
      <c r="B26" s="33" t="s">
        <v>74</v>
      </c>
      <c r="C26" s="34" t="s">
        <v>15</v>
      </c>
      <c r="D26" s="13" t="s">
        <v>77</v>
      </c>
      <c r="E26" s="13" t="s">
        <v>76</v>
      </c>
      <c r="F26" s="26"/>
      <c r="G26" s="26"/>
      <c r="H26" s="26">
        <v>16</v>
      </c>
      <c r="I26" s="13" t="s">
        <v>68</v>
      </c>
    </row>
    <row r="27" spans="1:9" ht="33.75" customHeight="1">
      <c r="A27" s="12">
        <v>15</v>
      </c>
      <c r="B27" s="33" t="s">
        <v>74</v>
      </c>
      <c r="C27" s="34" t="s">
        <v>15</v>
      </c>
      <c r="D27" s="13" t="s">
        <v>78</v>
      </c>
      <c r="E27" s="13" t="s">
        <v>79</v>
      </c>
      <c r="F27" s="26"/>
      <c r="G27" s="26"/>
      <c r="H27" s="26">
        <v>5</v>
      </c>
      <c r="I27" s="13" t="s">
        <v>58</v>
      </c>
    </row>
    <row r="28" spans="1:9" ht="33.75" customHeight="1">
      <c r="A28" s="12">
        <v>16</v>
      </c>
      <c r="B28" s="33" t="s">
        <v>74</v>
      </c>
      <c r="C28" s="34" t="s">
        <v>15</v>
      </c>
      <c r="D28" s="13" t="s">
        <v>80</v>
      </c>
      <c r="E28" s="13" t="s">
        <v>81</v>
      </c>
      <c r="F28" s="26"/>
      <c r="G28" s="26"/>
      <c r="H28" s="26">
        <v>17</v>
      </c>
      <c r="I28" s="13" t="s">
        <v>68</v>
      </c>
    </row>
    <row r="29" spans="1:9" ht="34.5" customHeight="1">
      <c r="A29" s="12">
        <v>17</v>
      </c>
      <c r="B29" s="33" t="s">
        <v>74</v>
      </c>
      <c r="C29" s="34" t="s">
        <v>15</v>
      </c>
      <c r="D29" s="13" t="s">
        <v>82</v>
      </c>
      <c r="E29" s="13" t="s">
        <v>76</v>
      </c>
      <c r="F29" s="26"/>
      <c r="G29" s="26"/>
      <c r="H29" s="26">
        <v>18</v>
      </c>
      <c r="I29" s="13" t="s">
        <v>68</v>
      </c>
    </row>
    <row r="30" spans="1:9" ht="34.5" customHeight="1">
      <c r="A30" s="12">
        <v>18</v>
      </c>
      <c r="B30" s="33" t="s">
        <v>74</v>
      </c>
      <c r="C30" s="34" t="s">
        <v>15</v>
      </c>
      <c r="D30" s="13" t="s">
        <v>83</v>
      </c>
      <c r="E30" s="28" t="s">
        <v>84</v>
      </c>
      <c r="F30" s="26"/>
      <c r="G30" s="26"/>
      <c r="H30" s="26">
        <v>19</v>
      </c>
      <c r="I30" s="13" t="s">
        <v>68</v>
      </c>
    </row>
    <row r="31" spans="1:9" ht="52.5" customHeight="1">
      <c r="A31" s="12">
        <v>19</v>
      </c>
      <c r="B31" s="33" t="s">
        <v>74</v>
      </c>
      <c r="C31" s="34" t="s">
        <v>15</v>
      </c>
      <c r="D31" s="13" t="s">
        <v>85</v>
      </c>
      <c r="E31" s="28" t="s">
        <v>86</v>
      </c>
      <c r="F31" s="26"/>
      <c r="G31" s="26"/>
      <c r="H31" s="26">
        <v>8</v>
      </c>
      <c r="I31" s="13" t="s">
        <v>58</v>
      </c>
    </row>
    <row r="32" spans="1:9" ht="51.75" customHeight="1">
      <c r="A32" s="12">
        <v>20</v>
      </c>
      <c r="B32" s="33" t="s">
        <v>74</v>
      </c>
      <c r="C32" s="34" t="s">
        <v>15</v>
      </c>
      <c r="D32" s="13" t="s">
        <v>87</v>
      </c>
      <c r="E32" s="37" t="s">
        <v>88</v>
      </c>
      <c r="F32" s="26"/>
      <c r="G32" s="26"/>
      <c r="H32" s="26">
        <v>25</v>
      </c>
      <c r="I32" s="13" t="s">
        <v>50</v>
      </c>
    </row>
    <row r="33" spans="1:9" ht="35.25" customHeight="1">
      <c r="A33" s="12">
        <v>21</v>
      </c>
      <c r="B33" s="33" t="s">
        <v>74</v>
      </c>
      <c r="C33" s="34" t="s">
        <v>15</v>
      </c>
      <c r="D33" s="37" t="s">
        <v>89</v>
      </c>
      <c r="E33" s="37" t="s">
        <v>90</v>
      </c>
      <c r="F33" s="26"/>
      <c r="G33" s="26"/>
      <c r="H33" s="26">
        <v>22</v>
      </c>
      <c r="I33" s="13" t="s">
        <v>50</v>
      </c>
    </row>
    <row r="34" spans="1:9" ht="33" customHeight="1">
      <c r="A34" s="12">
        <v>22</v>
      </c>
      <c r="B34" s="33" t="s">
        <v>74</v>
      </c>
      <c r="C34" s="34" t="s">
        <v>15</v>
      </c>
      <c r="D34" s="13" t="s">
        <v>91</v>
      </c>
      <c r="E34" s="13" t="s">
        <v>92</v>
      </c>
      <c r="F34" s="26"/>
      <c r="G34" s="26"/>
      <c r="H34" s="26">
        <v>9</v>
      </c>
      <c r="I34" s="13" t="s">
        <v>58</v>
      </c>
    </row>
    <row r="35" spans="1:9" ht="34.5" customHeight="1">
      <c r="A35" s="12">
        <v>23</v>
      </c>
      <c r="B35" s="33" t="s">
        <v>74</v>
      </c>
      <c r="C35" s="34" t="s">
        <v>15</v>
      </c>
      <c r="D35" s="13" t="s">
        <v>93</v>
      </c>
      <c r="E35" s="28" t="s">
        <v>94</v>
      </c>
      <c r="F35" s="26"/>
      <c r="G35" s="26"/>
      <c r="H35" s="26">
        <v>10</v>
      </c>
      <c r="I35" s="13" t="s">
        <v>58</v>
      </c>
    </row>
    <row r="36" spans="1:9" ht="34.5" customHeight="1">
      <c r="A36" s="12">
        <v>24</v>
      </c>
      <c r="B36" s="33" t="s">
        <v>74</v>
      </c>
      <c r="C36" s="34" t="s">
        <v>15</v>
      </c>
      <c r="D36" s="13" t="s">
        <v>95</v>
      </c>
      <c r="E36" s="28" t="s">
        <v>94</v>
      </c>
      <c r="F36" s="26"/>
      <c r="G36" s="26"/>
      <c r="H36" s="26">
        <v>11</v>
      </c>
      <c r="I36" s="13" t="s">
        <v>58</v>
      </c>
    </row>
    <row r="37" spans="1:9" ht="33.75" customHeight="1">
      <c r="A37" s="12">
        <v>25</v>
      </c>
      <c r="B37" s="33" t="s">
        <v>74</v>
      </c>
      <c r="C37" s="34" t="s">
        <v>15</v>
      </c>
      <c r="D37" s="38" t="s">
        <v>96</v>
      </c>
      <c r="E37" s="37" t="s">
        <v>97</v>
      </c>
      <c r="F37" s="26"/>
      <c r="G37" s="26"/>
      <c r="H37" s="26">
        <v>6</v>
      </c>
      <c r="I37" s="13" t="s">
        <v>58</v>
      </c>
    </row>
    <row r="38" spans="1:9" ht="34.5" customHeight="1">
      <c r="A38" s="12">
        <v>26</v>
      </c>
      <c r="B38" s="33" t="s">
        <v>74</v>
      </c>
      <c r="C38" s="34" t="s">
        <v>15</v>
      </c>
      <c r="D38" s="28" t="s">
        <v>98</v>
      </c>
      <c r="E38" s="13"/>
      <c r="F38" s="26"/>
      <c r="G38" s="26"/>
      <c r="H38" s="26">
        <v>4</v>
      </c>
      <c r="I38" s="13" t="s">
        <v>54</v>
      </c>
    </row>
    <row r="39" spans="1:9">
      <c r="B39" s="9"/>
    </row>
    <row r="40" spans="1:9">
      <c r="B40" s="9"/>
    </row>
  </sheetData>
  <autoFilter ref="A2:I2" xr:uid="{00000000-0009-0000-0000-000000000000}"/>
  <phoneticPr fontId="5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42578125" defaultRowHeight="18"/>
  <cols>
    <col min="1" max="2" width="6" style="11" customWidth="1"/>
    <col min="3" max="4" width="9" style="11" customWidth="1"/>
    <col min="5" max="5" width="33" style="11" customWidth="1"/>
    <col min="6" max="7" width="11" style="11" customWidth="1"/>
    <col min="8" max="8" width="12" style="11" customWidth="1"/>
    <col min="9" max="9" width="13" style="11" customWidth="1"/>
    <col min="10" max="10" width="18" style="11" customWidth="1"/>
    <col min="11" max="11" width="40" style="11" customWidth="1"/>
  </cols>
  <sheetData>
    <row r="1" spans="1:11" ht="19">
      <c r="A1" s="8" t="s">
        <v>99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39" t="s">
        <v>100</v>
      </c>
      <c r="B2" s="39" t="s">
        <v>101</v>
      </c>
      <c r="C2" s="40">
        <v>1</v>
      </c>
      <c r="D2" s="39" t="s">
        <v>102</v>
      </c>
      <c r="E2" s="40">
        <v>1</v>
      </c>
      <c r="F2" s="41" t="s">
        <v>103</v>
      </c>
    </row>
    <row r="4" spans="1:11" ht="26">
      <c r="A4" s="42" t="s">
        <v>104</v>
      </c>
      <c r="B4" s="42" t="s">
        <v>105</v>
      </c>
      <c r="C4" s="42" t="s">
        <v>106</v>
      </c>
      <c r="D4" s="42" t="s">
        <v>5</v>
      </c>
      <c r="E4" s="42" t="s">
        <v>7</v>
      </c>
      <c r="F4" s="42" t="s">
        <v>107</v>
      </c>
      <c r="G4" s="43" t="s">
        <v>108</v>
      </c>
      <c r="H4" s="42" t="s">
        <v>109</v>
      </c>
      <c r="I4" s="42" t="s">
        <v>110</v>
      </c>
      <c r="J4" s="42" t="s">
        <v>111</v>
      </c>
      <c r="K4" s="42" t="s">
        <v>112</v>
      </c>
    </row>
    <row r="5" spans="1:11">
      <c r="A5" s="44">
        <v>1</v>
      </c>
      <c r="B5" s="45">
        <v>7</v>
      </c>
      <c r="C5" s="46" t="s">
        <v>61</v>
      </c>
      <c r="D5" s="47" t="s">
        <v>113</v>
      </c>
      <c r="E5" s="46" t="s">
        <v>114</v>
      </c>
      <c r="F5" s="45">
        <v>4</v>
      </c>
      <c r="G5" s="48">
        <v>5</v>
      </c>
      <c r="H5" s="45">
        <v>4</v>
      </c>
      <c r="I5" s="49">
        <f t="shared" ref="I5:I30" si="0">F5*$C$2+H5*$E$2</f>
        <v>8</v>
      </c>
      <c r="J5" s="50" t="s">
        <v>115</v>
      </c>
      <c r="K5" s="46" t="s">
        <v>116</v>
      </c>
    </row>
    <row r="6" spans="1:11" ht="28">
      <c r="A6" s="44">
        <v>2</v>
      </c>
      <c r="B6" s="45">
        <v>8</v>
      </c>
      <c r="C6" s="46" t="s">
        <v>61</v>
      </c>
      <c r="D6" s="47" t="s">
        <v>113</v>
      </c>
      <c r="E6" s="46" t="s">
        <v>117</v>
      </c>
      <c r="F6" s="45">
        <v>4</v>
      </c>
      <c r="G6" s="48">
        <v>5</v>
      </c>
      <c r="H6" s="45">
        <v>4</v>
      </c>
      <c r="I6" s="49">
        <f t="shared" si="0"/>
        <v>8</v>
      </c>
      <c r="J6" s="50" t="s">
        <v>115</v>
      </c>
      <c r="K6" s="46" t="s">
        <v>118</v>
      </c>
    </row>
    <row r="7" spans="1:11">
      <c r="A7" s="44">
        <v>3</v>
      </c>
      <c r="B7" s="45">
        <v>12</v>
      </c>
      <c r="C7" s="46" t="s">
        <v>61</v>
      </c>
      <c r="D7" s="47" t="s">
        <v>113</v>
      </c>
      <c r="E7" s="51" t="s">
        <v>119</v>
      </c>
      <c r="F7" s="45">
        <v>4</v>
      </c>
      <c r="G7" s="48">
        <v>5</v>
      </c>
      <c r="H7" s="45">
        <v>4</v>
      </c>
      <c r="I7" s="49">
        <f t="shared" si="0"/>
        <v>8</v>
      </c>
      <c r="J7" s="50" t="s">
        <v>115</v>
      </c>
      <c r="K7" s="46" t="s">
        <v>120</v>
      </c>
    </row>
    <row r="8" spans="1:11" ht="28">
      <c r="A8" s="52">
        <v>4</v>
      </c>
      <c r="B8" s="53">
        <v>26</v>
      </c>
      <c r="C8" s="54" t="s">
        <v>74</v>
      </c>
      <c r="D8" s="55" t="s">
        <v>121</v>
      </c>
      <c r="E8" s="54" t="s">
        <v>122</v>
      </c>
      <c r="F8" s="53">
        <v>2</v>
      </c>
      <c r="G8" s="56">
        <v>2</v>
      </c>
      <c r="H8" s="53">
        <v>5</v>
      </c>
      <c r="I8" s="57">
        <f t="shared" si="0"/>
        <v>7</v>
      </c>
      <c r="J8" s="58" t="s">
        <v>123</v>
      </c>
      <c r="K8" s="54" t="s">
        <v>124</v>
      </c>
    </row>
    <row r="9" spans="1:11">
      <c r="A9" s="59">
        <v>5</v>
      </c>
      <c r="B9" s="60">
        <v>15</v>
      </c>
      <c r="C9" s="61" t="s">
        <v>74</v>
      </c>
      <c r="D9" s="62" t="s">
        <v>121</v>
      </c>
      <c r="E9" s="61" t="s">
        <v>125</v>
      </c>
      <c r="F9" s="60">
        <v>4</v>
      </c>
      <c r="G9" s="48">
        <v>4</v>
      </c>
      <c r="H9" s="60">
        <v>3</v>
      </c>
      <c r="I9" s="63">
        <f t="shared" si="0"/>
        <v>7</v>
      </c>
      <c r="J9" s="64" t="s">
        <v>126</v>
      </c>
      <c r="K9" s="61" t="s">
        <v>127</v>
      </c>
    </row>
    <row r="10" spans="1:11">
      <c r="A10" s="59">
        <v>6</v>
      </c>
      <c r="B10" s="60">
        <v>25</v>
      </c>
      <c r="C10" s="61" t="s">
        <v>74</v>
      </c>
      <c r="D10" s="62" t="s">
        <v>121</v>
      </c>
      <c r="E10" s="65" t="s">
        <v>128</v>
      </c>
      <c r="F10" s="60">
        <v>4</v>
      </c>
      <c r="G10" s="48">
        <v>4</v>
      </c>
      <c r="H10" s="60">
        <v>3</v>
      </c>
      <c r="I10" s="63">
        <f t="shared" si="0"/>
        <v>7</v>
      </c>
      <c r="J10" s="64" t="s">
        <v>126</v>
      </c>
      <c r="K10" s="61" t="s">
        <v>129</v>
      </c>
    </row>
    <row r="11" spans="1:11">
      <c r="A11" s="59">
        <v>7</v>
      </c>
      <c r="B11" s="60">
        <v>6</v>
      </c>
      <c r="C11" s="61" t="s">
        <v>29</v>
      </c>
      <c r="D11" s="62" t="s">
        <v>130</v>
      </c>
      <c r="E11" s="61" t="s">
        <v>131</v>
      </c>
      <c r="F11" s="60">
        <v>4</v>
      </c>
      <c r="G11" s="48">
        <v>4</v>
      </c>
      <c r="H11" s="60">
        <v>2</v>
      </c>
      <c r="I11" s="63">
        <f t="shared" si="0"/>
        <v>6</v>
      </c>
      <c r="J11" s="64" t="s">
        <v>126</v>
      </c>
      <c r="K11" s="65" t="s">
        <v>132</v>
      </c>
    </row>
    <row r="12" spans="1:11">
      <c r="A12" s="59">
        <v>8</v>
      </c>
      <c r="B12" s="60">
        <v>19</v>
      </c>
      <c r="C12" s="61" t="s">
        <v>74</v>
      </c>
      <c r="D12" s="62" t="s">
        <v>121</v>
      </c>
      <c r="E12" s="61" t="s">
        <v>133</v>
      </c>
      <c r="F12" s="60">
        <v>4</v>
      </c>
      <c r="G12" s="60">
        <v>3</v>
      </c>
      <c r="H12" s="60">
        <v>2</v>
      </c>
      <c r="I12" s="63">
        <f t="shared" si="0"/>
        <v>6</v>
      </c>
      <c r="J12" s="64" t="s">
        <v>126</v>
      </c>
      <c r="K12" s="61" t="s">
        <v>134</v>
      </c>
    </row>
    <row r="13" spans="1:11">
      <c r="A13" s="59">
        <v>9</v>
      </c>
      <c r="B13" s="60">
        <v>22</v>
      </c>
      <c r="C13" s="61" t="s">
        <v>74</v>
      </c>
      <c r="D13" s="62" t="s">
        <v>121</v>
      </c>
      <c r="E13" s="61" t="s">
        <v>135</v>
      </c>
      <c r="F13" s="60">
        <v>4</v>
      </c>
      <c r="G13" s="48">
        <v>4</v>
      </c>
      <c r="H13" s="60">
        <v>2</v>
      </c>
      <c r="I13" s="63">
        <f t="shared" si="0"/>
        <v>6</v>
      </c>
      <c r="J13" s="64" t="s">
        <v>126</v>
      </c>
      <c r="K13" s="61" t="s">
        <v>136</v>
      </c>
    </row>
    <row r="14" spans="1:11">
      <c r="A14" s="59">
        <v>10</v>
      </c>
      <c r="B14" s="60">
        <v>23</v>
      </c>
      <c r="C14" s="61" t="s">
        <v>74</v>
      </c>
      <c r="D14" s="62" t="s">
        <v>121</v>
      </c>
      <c r="E14" s="61" t="s">
        <v>137</v>
      </c>
      <c r="F14" s="60">
        <v>4</v>
      </c>
      <c r="G14" s="48">
        <v>4</v>
      </c>
      <c r="H14" s="60">
        <v>2</v>
      </c>
      <c r="I14" s="63">
        <f t="shared" si="0"/>
        <v>6</v>
      </c>
      <c r="J14" s="64" t="s">
        <v>126</v>
      </c>
      <c r="K14" s="61" t="s">
        <v>138</v>
      </c>
    </row>
    <row r="15" spans="1:11">
      <c r="A15" s="59">
        <v>11</v>
      </c>
      <c r="B15" s="60">
        <v>24</v>
      </c>
      <c r="C15" s="61" t="s">
        <v>74</v>
      </c>
      <c r="D15" s="62" t="s">
        <v>121</v>
      </c>
      <c r="E15" s="61" t="s">
        <v>139</v>
      </c>
      <c r="F15" s="60">
        <v>4</v>
      </c>
      <c r="G15" s="48">
        <v>4</v>
      </c>
      <c r="H15" s="60">
        <v>2</v>
      </c>
      <c r="I15" s="63">
        <f t="shared" si="0"/>
        <v>6</v>
      </c>
      <c r="J15" s="64" t="s">
        <v>126</v>
      </c>
      <c r="K15" s="61" t="s">
        <v>140</v>
      </c>
    </row>
    <row r="16" spans="1:11">
      <c r="A16" s="59">
        <v>12</v>
      </c>
      <c r="B16" s="60">
        <v>9</v>
      </c>
      <c r="C16" s="61" t="s">
        <v>61</v>
      </c>
      <c r="D16" s="62" t="s">
        <v>113</v>
      </c>
      <c r="E16" s="61" t="s">
        <v>141</v>
      </c>
      <c r="F16" s="60">
        <v>5</v>
      </c>
      <c r="G16" s="48">
        <v>5</v>
      </c>
      <c r="H16" s="60">
        <v>1</v>
      </c>
      <c r="I16" s="63">
        <f t="shared" si="0"/>
        <v>6</v>
      </c>
      <c r="J16" s="64" t="s">
        <v>126</v>
      </c>
      <c r="K16" s="61" t="s">
        <v>142</v>
      </c>
    </row>
    <row r="17" spans="1:11">
      <c r="A17" s="59">
        <v>13</v>
      </c>
      <c r="B17" s="60">
        <v>10</v>
      </c>
      <c r="C17" s="61" t="s">
        <v>61</v>
      </c>
      <c r="D17" s="62" t="s">
        <v>113</v>
      </c>
      <c r="E17" s="61" t="s">
        <v>143</v>
      </c>
      <c r="F17" s="60">
        <v>5</v>
      </c>
      <c r="G17" s="48">
        <v>5</v>
      </c>
      <c r="H17" s="60">
        <v>1</v>
      </c>
      <c r="I17" s="63">
        <f t="shared" si="0"/>
        <v>6</v>
      </c>
      <c r="J17" s="64" t="s">
        <v>126</v>
      </c>
      <c r="K17" s="61" t="s">
        <v>144</v>
      </c>
    </row>
    <row r="18" spans="1:11">
      <c r="A18" s="59">
        <v>14</v>
      </c>
      <c r="B18" s="60">
        <v>11</v>
      </c>
      <c r="C18" s="61" t="s">
        <v>61</v>
      </c>
      <c r="D18" s="62" t="s">
        <v>113</v>
      </c>
      <c r="E18" s="61" t="s">
        <v>145</v>
      </c>
      <c r="F18" s="60">
        <v>5</v>
      </c>
      <c r="G18" s="48">
        <v>5</v>
      </c>
      <c r="H18" s="60">
        <v>1</v>
      </c>
      <c r="I18" s="63">
        <f t="shared" si="0"/>
        <v>6</v>
      </c>
      <c r="J18" s="64" t="s">
        <v>126</v>
      </c>
      <c r="K18" s="61" t="s">
        <v>144</v>
      </c>
    </row>
    <row r="19" spans="1:11">
      <c r="A19" s="59">
        <v>15</v>
      </c>
      <c r="B19" s="60">
        <v>13</v>
      </c>
      <c r="C19" s="61" t="s">
        <v>74</v>
      </c>
      <c r="D19" s="62" t="s">
        <v>121</v>
      </c>
      <c r="E19" s="61" t="s">
        <v>146</v>
      </c>
      <c r="F19" s="60">
        <v>5</v>
      </c>
      <c r="G19" s="48">
        <v>5</v>
      </c>
      <c r="H19" s="60">
        <v>1</v>
      </c>
      <c r="I19" s="63">
        <f t="shared" si="0"/>
        <v>6</v>
      </c>
      <c r="J19" s="64" t="s">
        <v>126</v>
      </c>
      <c r="K19" s="61" t="s">
        <v>147</v>
      </c>
    </row>
    <row r="20" spans="1:11">
      <c r="A20" s="59">
        <v>16</v>
      </c>
      <c r="B20" s="60">
        <v>14</v>
      </c>
      <c r="C20" s="61" t="s">
        <v>74</v>
      </c>
      <c r="D20" s="62" t="s">
        <v>121</v>
      </c>
      <c r="E20" s="61" t="s">
        <v>148</v>
      </c>
      <c r="F20" s="60">
        <v>5</v>
      </c>
      <c r="G20" s="48">
        <v>5</v>
      </c>
      <c r="H20" s="60">
        <v>1</v>
      </c>
      <c r="I20" s="63">
        <f t="shared" si="0"/>
        <v>6</v>
      </c>
      <c r="J20" s="64" t="s">
        <v>126</v>
      </c>
      <c r="K20" s="61" t="s">
        <v>144</v>
      </c>
    </row>
    <row r="21" spans="1:11">
      <c r="A21" s="59">
        <v>17</v>
      </c>
      <c r="B21" s="60">
        <v>16</v>
      </c>
      <c r="C21" s="61" t="s">
        <v>74</v>
      </c>
      <c r="D21" s="62" t="s">
        <v>121</v>
      </c>
      <c r="E21" s="61" t="s">
        <v>149</v>
      </c>
      <c r="F21" s="60">
        <v>5</v>
      </c>
      <c r="G21" s="48">
        <v>5</v>
      </c>
      <c r="H21" s="60">
        <v>1</v>
      </c>
      <c r="I21" s="63">
        <f t="shared" si="0"/>
        <v>6</v>
      </c>
      <c r="J21" s="64" t="s">
        <v>126</v>
      </c>
      <c r="K21" s="61" t="s">
        <v>150</v>
      </c>
    </row>
    <row r="22" spans="1:11">
      <c r="A22" s="59">
        <v>18</v>
      </c>
      <c r="B22" s="60">
        <v>17</v>
      </c>
      <c r="C22" s="61" t="s">
        <v>74</v>
      </c>
      <c r="D22" s="62" t="s">
        <v>121</v>
      </c>
      <c r="E22" s="61" t="s">
        <v>151</v>
      </c>
      <c r="F22" s="60">
        <v>5</v>
      </c>
      <c r="G22" s="48">
        <v>5</v>
      </c>
      <c r="H22" s="60">
        <v>1</v>
      </c>
      <c r="I22" s="63">
        <f t="shared" si="0"/>
        <v>6</v>
      </c>
      <c r="J22" s="64" t="s">
        <v>126</v>
      </c>
      <c r="K22" s="61" t="s">
        <v>150</v>
      </c>
    </row>
    <row r="23" spans="1:11">
      <c r="A23" s="59">
        <v>19</v>
      </c>
      <c r="B23" s="60">
        <v>18</v>
      </c>
      <c r="C23" s="61" t="s">
        <v>74</v>
      </c>
      <c r="D23" s="62" t="s">
        <v>121</v>
      </c>
      <c r="E23" s="61" t="s">
        <v>152</v>
      </c>
      <c r="F23" s="60">
        <v>5</v>
      </c>
      <c r="G23" s="48">
        <v>4</v>
      </c>
      <c r="H23" s="60">
        <v>1</v>
      </c>
      <c r="I23" s="63">
        <f t="shared" si="0"/>
        <v>6</v>
      </c>
      <c r="J23" s="64" t="s">
        <v>126</v>
      </c>
      <c r="K23" s="61" t="s">
        <v>150</v>
      </c>
    </row>
    <row r="24" spans="1:11">
      <c r="A24" s="59">
        <v>20</v>
      </c>
      <c r="B24" s="60">
        <v>4</v>
      </c>
      <c r="C24" s="61" t="s">
        <v>29</v>
      </c>
      <c r="D24" s="62" t="s">
        <v>130</v>
      </c>
      <c r="E24" s="65" t="s">
        <v>153</v>
      </c>
      <c r="F24" s="60">
        <v>4</v>
      </c>
      <c r="G24" s="60">
        <v>3</v>
      </c>
      <c r="H24" s="60">
        <v>1</v>
      </c>
      <c r="I24" s="63">
        <f t="shared" si="0"/>
        <v>5</v>
      </c>
      <c r="J24" s="64" t="s">
        <v>126</v>
      </c>
      <c r="K24" s="65" t="s">
        <v>154</v>
      </c>
    </row>
    <row r="25" spans="1:11" ht="28">
      <c r="A25" s="66">
        <v>21</v>
      </c>
      <c r="B25" s="67">
        <v>3</v>
      </c>
      <c r="C25" s="68" t="s">
        <v>29</v>
      </c>
      <c r="D25" s="69" t="s">
        <v>155</v>
      </c>
      <c r="E25" s="70" t="s">
        <v>156</v>
      </c>
      <c r="F25" s="67">
        <v>3</v>
      </c>
      <c r="G25" s="67">
        <v>3</v>
      </c>
      <c r="H25" s="67">
        <v>3</v>
      </c>
      <c r="I25" s="71">
        <f t="shared" si="0"/>
        <v>6</v>
      </c>
      <c r="J25" s="72" t="s">
        <v>157</v>
      </c>
      <c r="K25" s="68" t="s">
        <v>158</v>
      </c>
    </row>
    <row r="26" spans="1:11">
      <c r="A26" s="66">
        <v>22</v>
      </c>
      <c r="B26" s="67">
        <v>21</v>
      </c>
      <c r="C26" s="68" t="s">
        <v>74</v>
      </c>
      <c r="D26" s="69" t="s">
        <v>121</v>
      </c>
      <c r="E26" s="68" t="s">
        <v>159</v>
      </c>
      <c r="F26" s="67">
        <v>3</v>
      </c>
      <c r="G26" s="48">
        <v>4</v>
      </c>
      <c r="H26" s="67">
        <v>3</v>
      </c>
      <c r="I26" s="71">
        <f t="shared" si="0"/>
        <v>6</v>
      </c>
      <c r="J26" s="72" t="s">
        <v>157</v>
      </c>
      <c r="K26" s="68" t="s">
        <v>160</v>
      </c>
    </row>
    <row r="27" spans="1:11" ht="28">
      <c r="A27" s="66">
        <v>23</v>
      </c>
      <c r="B27" s="67">
        <v>2</v>
      </c>
      <c r="C27" s="68" t="s">
        <v>51</v>
      </c>
      <c r="D27" s="69" t="s">
        <v>113</v>
      </c>
      <c r="E27" s="70" t="s">
        <v>161</v>
      </c>
      <c r="F27" s="67">
        <v>2</v>
      </c>
      <c r="G27" s="56">
        <v>2</v>
      </c>
      <c r="H27" s="67">
        <v>3</v>
      </c>
      <c r="I27" s="71">
        <f t="shared" si="0"/>
        <v>5</v>
      </c>
      <c r="J27" s="72" t="s">
        <v>157</v>
      </c>
      <c r="K27" s="68" t="s">
        <v>162</v>
      </c>
    </row>
    <row r="28" spans="1:11" ht="28">
      <c r="A28" s="66">
        <v>24</v>
      </c>
      <c r="B28" s="67">
        <v>1</v>
      </c>
      <c r="C28" s="68" t="s">
        <v>47</v>
      </c>
      <c r="D28" s="69" t="s">
        <v>121</v>
      </c>
      <c r="E28" s="68" t="s">
        <v>163</v>
      </c>
      <c r="F28" s="67">
        <v>3</v>
      </c>
      <c r="G28" s="56">
        <v>2</v>
      </c>
      <c r="H28" s="67">
        <v>2</v>
      </c>
      <c r="I28" s="71">
        <f t="shared" si="0"/>
        <v>5</v>
      </c>
      <c r="J28" s="72" t="s">
        <v>157</v>
      </c>
      <c r="K28" s="68" t="s">
        <v>164</v>
      </c>
    </row>
    <row r="29" spans="1:11">
      <c r="A29" s="66">
        <v>25</v>
      </c>
      <c r="B29" s="67">
        <v>20</v>
      </c>
      <c r="C29" s="68" t="s">
        <v>74</v>
      </c>
      <c r="D29" s="69" t="s">
        <v>121</v>
      </c>
      <c r="E29" s="68" t="s">
        <v>165</v>
      </c>
      <c r="F29" s="67">
        <v>3</v>
      </c>
      <c r="G29" s="67">
        <v>3</v>
      </c>
      <c r="H29" s="67">
        <v>2</v>
      </c>
      <c r="I29" s="71">
        <f t="shared" si="0"/>
        <v>5</v>
      </c>
      <c r="J29" s="72" t="s">
        <v>157</v>
      </c>
      <c r="K29" s="68" t="s">
        <v>166</v>
      </c>
    </row>
    <row r="30" spans="1:11">
      <c r="A30" s="66">
        <v>26</v>
      </c>
      <c r="B30" s="67">
        <v>5</v>
      </c>
      <c r="C30" s="68" t="s">
        <v>29</v>
      </c>
      <c r="D30" s="69" t="s">
        <v>130</v>
      </c>
      <c r="E30" s="70" t="s">
        <v>167</v>
      </c>
      <c r="F30" s="67">
        <v>3</v>
      </c>
      <c r="G30" s="56">
        <v>1</v>
      </c>
      <c r="H30" s="67">
        <v>1</v>
      </c>
      <c r="I30" s="71">
        <f t="shared" si="0"/>
        <v>4</v>
      </c>
      <c r="J30" s="72" t="s">
        <v>157</v>
      </c>
      <c r="K30" s="68" t="s">
        <v>168</v>
      </c>
    </row>
    <row r="32" spans="1:11">
      <c r="A32" s="73" t="s">
        <v>169</v>
      </c>
    </row>
    <row r="33" spans="1:11">
      <c r="A33" s="74" t="s">
        <v>115</v>
      </c>
      <c r="B33" s="7" t="s">
        <v>170</v>
      </c>
      <c r="C33" s="7"/>
      <c r="D33" s="7"/>
      <c r="E33" s="7"/>
      <c r="F33" s="7"/>
      <c r="G33" s="7"/>
      <c r="H33" s="7"/>
      <c r="I33" s="7"/>
      <c r="J33" s="7"/>
      <c r="K33" s="7"/>
    </row>
    <row r="34" spans="1:11">
      <c r="A34" s="75" t="s">
        <v>123</v>
      </c>
      <c r="B34" s="7" t="s">
        <v>171</v>
      </c>
      <c r="C34" s="7"/>
      <c r="D34" s="7"/>
      <c r="E34" s="7"/>
      <c r="F34" s="7"/>
      <c r="G34" s="7"/>
      <c r="H34" s="7"/>
      <c r="I34" s="7"/>
      <c r="J34" s="7"/>
      <c r="K34" s="7"/>
    </row>
    <row r="35" spans="1:11">
      <c r="A35" s="76" t="s">
        <v>126</v>
      </c>
      <c r="B35" s="7" t="s">
        <v>172</v>
      </c>
      <c r="C35" s="7"/>
      <c r="D35" s="7"/>
      <c r="E35" s="7"/>
      <c r="F35" s="7"/>
      <c r="G35" s="7"/>
      <c r="H35" s="7"/>
      <c r="I35" s="7"/>
      <c r="J35" s="7"/>
      <c r="K35" s="7"/>
    </row>
    <row r="36" spans="1:11">
      <c r="A36" s="77" t="s">
        <v>157</v>
      </c>
      <c r="B36" s="7" t="s">
        <v>173</v>
      </c>
      <c r="C36" s="7"/>
      <c r="D36" s="7"/>
      <c r="E36" s="7"/>
      <c r="F36" s="7"/>
      <c r="G36" s="7"/>
      <c r="H36" s="7"/>
      <c r="I36" s="7"/>
      <c r="J36" s="7"/>
      <c r="K36" s="7"/>
    </row>
    <row r="38" spans="1:11">
      <c r="A38" s="78" t="s">
        <v>174</v>
      </c>
    </row>
    <row r="39" spans="1:11">
      <c r="A39" s="79" t="s">
        <v>175</v>
      </c>
      <c r="B39" s="7" t="s">
        <v>176</v>
      </c>
      <c r="C39" s="7"/>
      <c r="D39" s="7"/>
      <c r="E39" s="7"/>
      <c r="F39" s="7"/>
      <c r="G39" s="7"/>
      <c r="H39" s="7"/>
      <c r="I39" s="7"/>
      <c r="J39" s="7"/>
      <c r="K39" s="7"/>
    </row>
    <row r="40" spans="1:11">
      <c r="A40" s="80" t="s">
        <v>177</v>
      </c>
      <c r="B40" s="7" t="s">
        <v>178</v>
      </c>
      <c r="C40" s="7"/>
      <c r="D40" s="7"/>
      <c r="E40" s="7"/>
      <c r="F40" s="7"/>
      <c r="G40" s="7"/>
      <c r="H40" s="7"/>
      <c r="I40" s="7"/>
      <c r="J40" s="7"/>
      <c r="K40" s="7"/>
    </row>
    <row r="42" spans="1:11">
      <c r="A42" s="6" t="s">
        <v>179</v>
      </c>
      <c r="B42" s="6"/>
      <c r="C42" s="6"/>
      <c r="D42" s="6"/>
      <c r="E42" s="6"/>
      <c r="F42" s="6"/>
      <c r="G42" s="6"/>
      <c r="H42" s="6"/>
      <c r="I42" s="6"/>
      <c r="J42" s="6"/>
      <c r="K42" s="6"/>
    </row>
  </sheetData>
  <mergeCells count="8">
    <mergeCell ref="B39:K39"/>
    <mergeCell ref="B40:K40"/>
    <mergeCell ref="A42:K42"/>
    <mergeCell ref="A1:K1"/>
    <mergeCell ref="B33:K33"/>
    <mergeCell ref="B34:K34"/>
    <mergeCell ref="B35:K35"/>
    <mergeCell ref="B36:K36"/>
  </mergeCells>
  <phoneticPr fontId="5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zoomScaleNormal="100" workbookViewId="0">
      <selection activeCell="H14" sqref="H14"/>
    </sheetView>
  </sheetViews>
  <sheetFormatPr baseColWidth="10" defaultColWidth="8.42578125" defaultRowHeight="18"/>
  <cols>
    <col min="1" max="1" width="12.28515625" style="11" customWidth="1"/>
    <col min="2" max="2" width="21.28515625" style="11" customWidth="1"/>
    <col min="3" max="4" width="9.85546875" style="11" customWidth="1"/>
    <col min="5" max="5" width="11.28515625" style="11" customWidth="1"/>
    <col min="6" max="6" width="9.85546875" style="11" customWidth="1"/>
  </cols>
  <sheetData>
    <row r="1" spans="1:6">
      <c r="A1" s="81" t="s">
        <v>180</v>
      </c>
    </row>
    <row r="2" spans="1:6">
      <c r="A2" s="82" t="s">
        <v>181</v>
      </c>
      <c r="B2" s="82"/>
      <c r="C2" s="83"/>
      <c r="D2" s="84"/>
      <c r="E2" s="84"/>
      <c r="F2" s="85">
        <v>46189</v>
      </c>
    </row>
    <row r="3" spans="1:6" ht="30.75" customHeight="1">
      <c r="A3" s="5"/>
      <c r="B3" s="5"/>
      <c r="C3" s="86" t="s">
        <v>182</v>
      </c>
      <c r="D3" s="87" t="s">
        <v>183</v>
      </c>
      <c r="E3" s="87" t="s">
        <v>184</v>
      </c>
      <c r="F3" s="87" t="s">
        <v>185</v>
      </c>
    </row>
    <row r="4" spans="1:6" ht="18" customHeight="1">
      <c r="A4" s="4" t="s">
        <v>186</v>
      </c>
      <c r="B4" s="88" t="s">
        <v>187</v>
      </c>
      <c r="C4" s="89">
        <v>244</v>
      </c>
      <c r="D4" s="90">
        <v>72</v>
      </c>
      <c r="E4" s="90">
        <v>79</v>
      </c>
      <c r="F4" s="90">
        <v>34</v>
      </c>
    </row>
    <row r="5" spans="1:6" ht="18" customHeight="1">
      <c r="A5" s="4"/>
      <c r="B5" s="91" t="s">
        <v>188</v>
      </c>
      <c r="C5" s="92">
        <v>266</v>
      </c>
      <c r="D5" s="93">
        <v>72</v>
      </c>
      <c r="E5" s="93">
        <v>83</v>
      </c>
      <c r="F5" s="93">
        <v>31</v>
      </c>
    </row>
    <row r="6" spans="1:6" ht="18" customHeight="1">
      <c r="A6" s="4"/>
      <c r="B6" s="94" t="s">
        <v>189</v>
      </c>
      <c r="C6" s="95">
        <v>109.016393442623</v>
      </c>
      <c r="D6" s="96">
        <v>100</v>
      </c>
      <c r="E6" s="96">
        <v>105.1</v>
      </c>
      <c r="F6" s="96">
        <v>91.2</v>
      </c>
    </row>
    <row r="7" spans="1:6" ht="18" customHeight="1">
      <c r="A7" s="4"/>
      <c r="B7" s="97" t="s">
        <v>190</v>
      </c>
      <c r="C7" s="98">
        <v>240</v>
      </c>
      <c r="D7" s="99">
        <v>60</v>
      </c>
      <c r="E7" s="99">
        <v>63</v>
      </c>
      <c r="F7" s="99">
        <v>25</v>
      </c>
    </row>
    <row r="8" spans="1:6" ht="18" customHeight="1">
      <c r="A8" s="4"/>
      <c r="B8" s="94" t="s">
        <v>191</v>
      </c>
      <c r="C8" s="100">
        <v>98.360655737704903</v>
      </c>
      <c r="D8" s="96">
        <v>83.3333333333333</v>
      </c>
      <c r="E8" s="96">
        <v>83.5</v>
      </c>
      <c r="F8" s="96">
        <v>73.5</v>
      </c>
    </row>
    <row r="9" spans="1:6" ht="18" customHeight="1">
      <c r="A9" s="4" t="s">
        <v>192</v>
      </c>
      <c r="B9" s="101" t="s">
        <v>187</v>
      </c>
      <c r="C9" s="87">
        <v>46</v>
      </c>
      <c r="D9" s="102">
        <v>14</v>
      </c>
      <c r="E9" s="102">
        <v>9</v>
      </c>
      <c r="F9" s="102">
        <v>10</v>
      </c>
    </row>
    <row r="10" spans="1:6" ht="18" customHeight="1">
      <c r="A10" s="4"/>
      <c r="B10" s="101" t="s">
        <v>193</v>
      </c>
      <c r="C10" s="87">
        <v>46</v>
      </c>
      <c r="D10" s="102">
        <v>5</v>
      </c>
      <c r="E10" s="103" t="s">
        <v>194</v>
      </c>
      <c r="F10" s="103" t="s">
        <v>195</v>
      </c>
    </row>
    <row r="11" spans="1:6" ht="18" customHeight="1">
      <c r="A11" s="4"/>
      <c r="B11" s="94" t="s">
        <v>196</v>
      </c>
      <c r="C11" s="95">
        <v>100</v>
      </c>
      <c r="D11" s="96">
        <v>35.714285714285701</v>
      </c>
      <c r="E11" s="96">
        <v>55.6</v>
      </c>
      <c r="F11" s="96">
        <v>90</v>
      </c>
    </row>
    <row r="12" spans="1:6" ht="18" customHeight="1">
      <c r="A12" s="4" t="s">
        <v>197</v>
      </c>
      <c r="B12" s="101" t="s">
        <v>187</v>
      </c>
      <c r="C12" s="104">
        <v>74</v>
      </c>
      <c r="D12" s="105"/>
      <c r="E12" s="105"/>
      <c r="F12" s="105"/>
    </row>
    <row r="13" spans="1:6" ht="18" customHeight="1">
      <c r="A13" s="4"/>
      <c r="B13" s="101" t="s">
        <v>193</v>
      </c>
      <c r="C13" s="104">
        <v>72</v>
      </c>
      <c r="D13" s="105"/>
      <c r="E13" s="105"/>
      <c r="F13" s="105"/>
    </row>
    <row r="14" spans="1:6" ht="18" customHeight="1">
      <c r="A14" s="4"/>
      <c r="B14" s="94" t="s">
        <v>198</v>
      </c>
      <c r="C14" s="95">
        <v>97.297297297297305</v>
      </c>
      <c r="D14" s="105"/>
      <c r="E14" s="105"/>
      <c r="F14" s="105"/>
    </row>
    <row r="15" spans="1:6" ht="18" customHeight="1">
      <c r="A15" s="4" t="s">
        <v>199</v>
      </c>
      <c r="B15" s="101" t="s">
        <v>200</v>
      </c>
      <c r="C15" s="87">
        <v>124</v>
      </c>
      <c r="D15" s="103" t="s">
        <v>201</v>
      </c>
      <c r="E15" s="103" t="s">
        <v>202</v>
      </c>
      <c r="F15" s="103" t="s">
        <v>203</v>
      </c>
    </row>
    <row r="16" spans="1:6" ht="18" customHeight="1">
      <c r="A16" s="4"/>
      <c r="B16" s="101" t="s">
        <v>204</v>
      </c>
      <c r="C16" s="87">
        <v>148</v>
      </c>
      <c r="D16" s="102">
        <v>67</v>
      </c>
      <c r="E16" s="102">
        <v>78</v>
      </c>
      <c r="F16" s="102">
        <v>22</v>
      </c>
    </row>
    <row r="17" spans="1:6" ht="18" customHeight="1">
      <c r="A17" s="4"/>
      <c r="B17" s="106" t="s">
        <v>205</v>
      </c>
      <c r="C17" s="87">
        <v>122</v>
      </c>
      <c r="D17" s="102">
        <v>55</v>
      </c>
      <c r="E17" s="102" t="s">
        <v>201</v>
      </c>
      <c r="F17" s="103" t="s">
        <v>206</v>
      </c>
    </row>
    <row r="18" spans="1:6" ht="18" customHeight="1">
      <c r="A18" s="4"/>
      <c r="B18" s="106" t="s">
        <v>207</v>
      </c>
      <c r="C18" s="98">
        <v>26</v>
      </c>
      <c r="D18" s="99">
        <v>12</v>
      </c>
      <c r="E18" s="99">
        <v>20</v>
      </c>
      <c r="F18" s="99">
        <v>6</v>
      </c>
    </row>
    <row r="19" spans="1:6" ht="18" customHeight="1">
      <c r="A19" s="4"/>
      <c r="B19" s="94" t="s">
        <v>208</v>
      </c>
      <c r="C19" s="95">
        <v>98.387096774193594</v>
      </c>
      <c r="D19" s="96">
        <v>94.827586206896598</v>
      </c>
      <c r="E19" s="96">
        <v>82.9</v>
      </c>
      <c r="F19" s="96">
        <v>66.599999999999994</v>
      </c>
    </row>
    <row r="20" spans="1:6" ht="18" customHeight="1">
      <c r="A20" s="87" t="s">
        <v>209</v>
      </c>
      <c r="B20" s="101" t="s">
        <v>209</v>
      </c>
      <c r="C20" s="87">
        <v>9</v>
      </c>
      <c r="D20" s="102">
        <v>0</v>
      </c>
      <c r="E20" s="102">
        <v>0</v>
      </c>
      <c r="F20" s="102">
        <v>0</v>
      </c>
    </row>
    <row r="21" spans="1:6" ht="18" customHeight="1">
      <c r="A21" s="4" t="s">
        <v>210</v>
      </c>
      <c r="B21" s="91" t="s">
        <v>211</v>
      </c>
      <c r="C21" s="92">
        <v>275</v>
      </c>
      <c r="D21" s="93">
        <v>72</v>
      </c>
      <c r="E21" s="93">
        <v>83</v>
      </c>
      <c r="F21" s="93">
        <v>31</v>
      </c>
    </row>
    <row r="22" spans="1:6" ht="18" customHeight="1">
      <c r="A22" s="4"/>
      <c r="B22" s="101" t="s">
        <v>212</v>
      </c>
      <c r="C22" s="87">
        <v>67</v>
      </c>
      <c r="D22" s="102">
        <v>0</v>
      </c>
      <c r="E22" s="102">
        <v>0</v>
      </c>
      <c r="F22" s="102">
        <v>6</v>
      </c>
    </row>
    <row r="23" spans="1:6" ht="18" customHeight="1">
      <c r="A23" s="4"/>
      <c r="B23" s="101" t="s">
        <v>213</v>
      </c>
      <c r="C23" s="87">
        <v>15</v>
      </c>
      <c r="D23" s="102">
        <v>7</v>
      </c>
      <c r="E23" s="102">
        <v>16</v>
      </c>
      <c r="F23" s="102">
        <v>6</v>
      </c>
    </row>
    <row r="24" spans="1:6" ht="18" customHeight="1">
      <c r="A24" s="4"/>
      <c r="B24" s="101" t="s">
        <v>214</v>
      </c>
      <c r="C24" s="87">
        <v>11</v>
      </c>
      <c r="D24" s="102">
        <v>5</v>
      </c>
      <c r="E24" s="102">
        <v>8</v>
      </c>
      <c r="F24" s="102">
        <v>7</v>
      </c>
    </row>
    <row r="25" spans="1:6" ht="18" customHeight="1">
      <c r="A25" s="4"/>
      <c r="B25" s="101" t="s">
        <v>215</v>
      </c>
      <c r="C25" s="87">
        <v>0</v>
      </c>
      <c r="D25" s="102">
        <v>2</v>
      </c>
      <c r="E25" s="102">
        <v>0</v>
      </c>
      <c r="F25" s="102">
        <v>0</v>
      </c>
    </row>
    <row r="26" spans="1:6" ht="18" customHeight="1">
      <c r="A26" s="4"/>
      <c r="B26" s="106" t="s">
        <v>216</v>
      </c>
      <c r="C26" s="87">
        <v>2</v>
      </c>
      <c r="D26" s="102">
        <v>1</v>
      </c>
      <c r="E26" s="102">
        <v>1</v>
      </c>
      <c r="F26" s="102">
        <v>1</v>
      </c>
    </row>
    <row r="28" spans="1:6">
      <c r="B28" s="107"/>
    </row>
  </sheetData>
  <mergeCells count="6">
    <mergeCell ref="A21:A26"/>
    <mergeCell ref="A3:B3"/>
    <mergeCell ref="A4:A8"/>
    <mergeCell ref="A9:A11"/>
    <mergeCell ref="A12:A14"/>
    <mergeCell ref="A15:A19"/>
  </mergeCells>
  <phoneticPr fontId="5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35"/>
  <sheetViews>
    <sheetView zoomScaleNormal="100" workbookViewId="0">
      <selection activeCell="G17" sqref="G17"/>
    </sheetView>
  </sheetViews>
  <sheetFormatPr baseColWidth="10" defaultColWidth="8.85546875" defaultRowHeight="14"/>
  <cols>
    <col min="1" max="1" width="8.85546875" style="108"/>
    <col min="2" max="2" width="6.7109375" style="108" customWidth="1"/>
    <col min="3" max="41" width="5" style="108" customWidth="1"/>
    <col min="42" max="42" width="2.140625" style="108" customWidth="1"/>
    <col min="43" max="16384" width="8.85546875" style="108"/>
  </cols>
  <sheetData>
    <row r="1" spans="1:45" ht="24.75" customHeight="1">
      <c r="A1" s="109" t="s">
        <v>217</v>
      </c>
    </row>
    <row r="2" spans="1:45" ht="36" customHeight="1">
      <c r="A2" s="110" t="s">
        <v>218</v>
      </c>
      <c r="B2" s="110" t="s">
        <v>219</v>
      </c>
      <c r="C2" s="111" t="s">
        <v>220</v>
      </c>
      <c r="D2" s="111" t="s">
        <v>221</v>
      </c>
      <c r="E2" s="111" t="s">
        <v>222</v>
      </c>
      <c r="F2" s="112" t="s">
        <v>223</v>
      </c>
      <c r="G2" s="112" t="s">
        <v>224</v>
      </c>
      <c r="H2" s="112" t="s">
        <v>225</v>
      </c>
      <c r="I2" s="112" t="s">
        <v>226</v>
      </c>
      <c r="J2" s="112" t="s">
        <v>227</v>
      </c>
      <c r="K2" s="112" t="s">
        <v>228</v>
      </c>
      <c r="L2" s="112" t="s">
        <v>229</v>
      </c>
      <c r="M2" s="112" t="s">
        <v>230</v>
      </c>
      <c r="N2" s="112" t="s">
        <v>231</v>
      </c>
      <c r="O2" s="112" t="s">
        <v>232</v>
      </c>
      <c r="P2" s="112" t="s">
        <v>233</v>
      </c>
      <c r="Q2" s="112" t="s">
        <v>234</v>
      </c>
      <c r="R2" s="112" t="s">
        <v>235</v>
      </c>
      <c r="S2" s="112" t="s">
        <v>236</v>
      </c>
      <c r="T2" s="112" t="s">
        <v>237</v>
      </c>
      <c r="U2" s="112" t="s">
        <v>238</v>
      </c>
      <c r="V2" s="112" t="s">
        <v>239</v>
      </c>
      <c r="W2" s="112" t="s">
        <v>240</v>
      </c>
      <c r="X2" s="112" t="s">
        <v>241</v>
      </c>
      <c r="Y2" s="112" t="s">
        <v>242</v>
      </c>
      <c r="Z2" s="112" t="s">
        <v>243</v>
      </c>
      <c r="AA2" s="112" t="s">
        <v>244</v>
      </c>
      <c r="AB2" s="112" t="s">
        <v>245</v>
      </c>
      <c r="AC2" s="112" t="s">
        <v>246</v>
      </c>
      <c r="AD2" s="112" t="s">
        <v>247</v>
      </c>
      <c r="AE2" s="112" t="s">
        <v>248</v>
      </c>
      <c r="AF2" s="110" t="s">
        <v>249</v>
      </c>
      <c r="AG2" s="112" t="s">
        <v>250</v>
      </c>
      <c r="AH2" s="112" t="s">
        <v>251</v>
      </c>
      <c r="AI2" s="110" t="s">
        <v>252</v>
      </c>
      <c r="AJ2" s="110" t="s">
        <v>253</v>
      </c>
      <c r="AK2" s="110" t="s">
        <v>254</v>
      </c>
      <c r="AL2" s="110" t="s">
        <v>255</v>
      </c>
      <c r="AM2" s="110" t="s">
        <v>256</v>
      </c>
      <c r="AN2" s="110" t="s">
        <v>257</v>
      </c>
      <c r="AO2" s="113" t="s">
        <v>258</v>
      </c>
      <c r="AP2" s="114"/>
      <c r="AQ2" s="115" t="s">
        <v>259</v>
      </c>
      <c r="AR2" s="116" t="s">
        <v>260</v>
      </c>
      <c r="AS2" s="114"/>
    </row>
    <row r="3" spans="1:45" ht="14.25" customHeight="1">
      <c r="A3" s="117" t="s">
        <v>261</v>
      </c>
      <c r="B3" s="117" t="s">
        <v>262</v>
      </c>
      <c r="C3" s="118">
        <v>28</v>
      </c>
      <c r="D3" s="118">
        <v>27</v>
      </c>
      <c r="E3" s="118">
        <v>1</v>
      </c>
      <c r="F3" s="119">
        <v>2</v>
      </c>
      <c r="G3" s="119">
        <v>3</v>
      </c>
      <c r="H3" s="119">
        <v>3</v>
      </c>
      <c r="I3" s="119">
        <v>11</v>
      </c>
      <c r="J3" s="119">
        <v>8</v>
      </c>
      <c r="K3" s="119">
        <v>0</v>
      </c>
      <c r="L3" s="119">
        <v>0</v>
      </c>
      <c r="M3" s="119">
        <v>0</v>
      </c>
      <c r="N3" s="119">
        <v>0</v>
      </c>
      <c r="O3" s="119">
        <v>0</v>
      </c>
      <c r="P3" s="119">
        <v>0</v>
      </c>
      <c r="Q3" s="119">
        <v>0</v>
      </c>
      <c r="R3" s="119">
        <v>0</v>
      </c>
      <c r="S3" s="119">
        <v>0</v>
      </c>
      <c r="T3" s="119">
        <v>0</v>
      </c>
      <c r="U3" s="119">
        <v>0</v>
      </c>
      <c r="V3" s="119">
        <v>0</v>
      </c>
      <c r="W3" s="119">
        <v>0</v>
      </c>
      <c r="X3" s="119">
        <v>0</v>
      </c>
      <c r="Y3" s="119">
        <v>0</v>
      </c>
      <c r="Z3" s="119">
        <v>0</v>
      </c>
      <c r="AA3" s="119">
        <v>0</v>
      </c>
      <c r="AB3" s="119">
        <v>0</v>
      </c>
      <c r="AC3" s="119">
        <v>0</v>
      </c>
      <c r="AD3" s="119">
        <v>0</v>
      </c>
      <c r="AE3" s="119">
        <v>0</v>
      </c>
      <c r="AF3" s="119">
        <v>1</v>
      </c>
      <c r="AG3" s="119">
        <v>0</v>
      </c>
      <c r="AH3" s="119">
        <v>0</v>
      </c>
      <c r="AI3" s="119">
        <v>0</v>
      </c>
      <c r="AJ3" s="119">
        <v>0</v>
      </c>
      <c r="AK3" s="119">
        <v>0</v>
      </c>
      <c r="AL3" s="119">
        <v>0</v>
      </c>
      <c r="AM3" s="119">
        <v>0</v>
      </c>
      <c r="AN3" s="119">
        <v>0</v>
      </c>
      <c r="AO3" s="120">
        <v>0</v>
      </c>
      <c r="AP3" s="114"/>
      <c r="AQ3" s="121" t="s">
        <v>263</v>
      </c>
      <c r="AR3" s="122">
        <f>$D3+$D5+$D17</f>
        <v>57</v>
      </c>
      <c r="AS3" s="114"/>
    </row>
    <row r="4" spans="1:45" ht="14.25" customHeight="1">
      <c r="A4" s="123" t="s">
        <v>261</v>
      </c>
      <c r="B4" s="123" t="s">
        <v>14</v>
      </c>
      <c r="C4" s="124">
        <v>10</v>
      </c>
      <c r="D4" s="124">
        <v>10</v>
      </c>
      <c r="E4" s="124">
        <v>0</v>
      </c>
      <c r="F4" s="125">
        <v>2</v>
      </c>
      <c r="G4" s="125">
        <v>2</v>
      </c>
      <c r="H4" s="125">
        <v>1</v>
      </c>
      <c r="I4" s="125">
        <v>3</v>
      </c>
      <c r="J4" s="125">
        <v>2</v>
      </c>
      <c r="K4" s="125">
        <v>0</v>
      </c>
      <c r="L4" s="125">
        <v>0</v>
      </c>
      <c r="M4" s="125">
        <v>0</v>
      </c>
      <c r="N4" s="125">
        <v>0</v>
      </c>
      <c r="O4" s="125">
        <v>0</v>
      </c>
      <c r="P4" s="125">
        <v>0</v>
      </c>
      <c r="Q4" s="125">
        <v>0</v>
      </c>
      <c r="R4" s="125">
        <v>0</v>
      </c>
      <c r="S4" s="125">
        <v>0</v>
      </c>
      <c r="T4" s="125">
        <v>0</v>
      </c>
      <c r="U4" s="125">
        <v>0</v>
      </c>
      <c r="V4" s="125">
        <v>0</v>
      </c>
      <c r="W4" s="125">
        <v>0</v>
      </c>
      <c r="X4" s="125">
        <v>0</v>
      </c>
      <c r="Y4" s="125">
        <v>0</v>
      </c>
      <c r="Z4" s="125">
        <v>0</v>
      </c>
      <c r="AA4" s="125">
        <v>0</v>
      </c>
      <c r="AB4" s="125">
        <v>0</v>
      </c>
      <c r="AC4" s="125">
        <v>0</v>
      </c>
      <c r="AD4" s="125">
        <v>0</v>
      </c>
      <c r="AE4" s="125">
        <v>0</v>
      </c>
      <c r="AF4" s="125">
        <v>0</v>
      </c>
      <c r="AG4" s="125">
        <v>0</v>
      </c>
      <c r="AH4" s="125">
        <v>0</v>
      </c>
      <c r="AI4" s="125">
        <v>0</v>
      </c>
      <c r="AJ4" s="125">
        <v>0</v>
      </c>
      <c r="AK4" s="125">
        <v>0</v>
      </c>
      <c r="AL4" s="125">
        <v>0</v>
      </c>
      <c r="AM4" s="125">
        <v>0</v>
      </c>
      <c r="AN4" s="125">
        <v>0</v>
      </c>
      <c r="AO4" s="120">
        <v>2</v>
      </c>
      <c r="AP4" s="114"/>
      <c r="AQ4" s="121" t="s">
        <v>264</v>
      </c>
      <c r="AR4" s="122">
        <f>$D14</f>
        <v>29</v>
      </c>
      <c r="AS4" s="114"/>
    </row>
    <row r="5" spans="1:45" ht="14.25" customHeight="1">
      <c r="A5" s="123" t="s">
        <v>261</v>
      </c>
      <c r="B5" s="123" t="s">
        <v>265</v>
      </c>
      <c r="C5" s="124">
        <v>23</v>
      </c>
      <c r="D5" s="124">
        <v>21</v>
      </c>
      <c r="E5" s="124">
        <v>2</v>
      </c>
      <c r="F5" s="125">
        <v>3</v>
      </c>
      <c r="G5" s="125">
        <v>3</v>
      </c>
      <c r="H5" s="125">
        <v>0</v>
      </c>
      <c r="I5" s="125">
        <v>10</v>
      </c>
      <c r="J5" s="125">
        <v>5</v>
      </c>
      <c r="K5" s="125">
        <v>0</v>
      </c>
      <c r="L5" s="125">
        <v>0</v>
      </c>
      <c r="M5" s="125">
        <v>0</v>
      </c>
      <c r="N5" s="125">
        <v>0</v>
      </c>
      <c r="O5" s="125">
        <v>0</v>
      </c>
      <c r="P5" s="125">
        <v>0</v>
      </c>
      <c r="Q5" s="125">
        <v>0</v>
      </c>
      <c r="R5" s="125">
        <v>0</v>
      </c>
      <c r="S5" s="125">
        <v>0</v>
      </c>
      <c r="T5" s="125">
        <v>0</v>
      </c>
      <c r="U5" s="125">
        <v>0</v>
      </c>
      <c r="V5" s="125">
        <v>0</v>
      </c>
      <c r="W5" s="125">
        <v>0</v>
      </c>
      <c r="X5" s="125">
        <v>0</v>
      </c>
      <c r="Y5" s="125">
        <v>0</v>
      </c>
      <c r="Z5" s="125">
        <v>0</v>
      </c>
      <c r="AA5" s="125">
        <v>0</v>
      </c>
      <c r="AB5" s="125">
        <v>0</v>
      </c>
      <c r="AC5" s="125">
        <v>0</v>
      </c>
      <c r="AD5" s="125">
        <v>0</v>
      </c>
      <c r="AE5" s="125">
        <v>0</v>
      </c>
      <c r="AF5" s="125">
        <v>1</v>
      </c>
      <c r="AG5" s="125">
        <v>0</v>
      </c>
      <c r="AH5" s="125">
        <v>0</v>
      </c>
      <c r="AI5" s="125">
        <v>0</v>
      </c>
      <c r="AJ5" s="125">
        <v>0</v>
      </c>
      <c r="AK5" s="125">
        <v>0</v>
      </c>
      <c r="AL5" s="125">
        <v>0</v>
      </c>
      <c r="AM5" s="125">
        <v>1</v>
      </c>
      <c r="AN5" s="125">
        <v>0</v>
      </c>
      <c r="AO5" s="120">
        <v>1</v>
      </c>
      <c r="AP5" s="114"/>
      <c r="AQ5" s="121" t="s">
        <v>266</v>
      </c>
      <c r="AR5" s="122">
        <f>$D4+$D10+$D11+$D15</f>
        <v>33</v>
      </c>
      <c r="AS5" s="114"/>
    </row>
    <row r="6" spans="1:45" ht="14.25" customHeight="1">
      <c r="A6" s="123" t="s">
        <v>261</v>
      </c>
      <c r="B6" s="123" t="s">
        <v>267</v>
      </c>
      <c r="C6" s="124">
        <v>0</v>
      </c>
      <c r="D6" s="124">
        <v>0</v>
      </c>
      <c r="E6" s="124">
        <v>0</v>
      </c>
      <c r="F6" s="125">
        <v>0</v>
      </c>
      <c r="G6" s="125">
        <v>0</v>
      </c>
      <c r="H6" s="125">
        <v>0</v>
      </c>
      <c r="I6" s="125">
        <v>0</v>
      </c>
      <c r="J6" s="125">
        <v>0</v>
      </c>
      <c r="K6" s="125">
        <v>0</v>
      </c>
      <c r="L6" s="125">
        <v>0</v>
      </c>
      <c r="M6" s="125">
        <v>0</v>
      </c>
      <c r="N6" s="125">
        <v>0</v>
      </c>
      <c r="O6" s="125">
        <v>0</v>
      </c>
      <c r="P6" s="125">
        <v>0</v>
      </c>
      <c r="Q6" s="125">
        <v>0</v>
      </c>
      <c r="R6" s="125">
        <v>0</v>
      </c>
      <c r="S6" s="125">
        <v>0</v>
      </c>
      <c r="T6" s="125">
        <v>0</v>
      </c>
      <c r="U6" s="125">
        <v>0</v>
      </c>
      <c r="V6" s="125">
        <v>0</v>
      </c>
      <c r="W6" s="125">
        <v>0</v>
      </c>
      <c r="X6" s="125">
        <v>0</v>
      </c>
      <c r="Y6" s="125">
        <v>0</v>
      </c>
      <c r="Z6" s="125">
        <v>0</v>
      </c>
      <c r="AA6" s="125">
        <v>0</v>
      </c>
      <c r="AB6" s="125">
        <v>0</v>
      </c>
      <c r="AC6" s="125">
        <v>0</v>
      </c>
      <c r="AD6" s="125">
        <v>0</v>
      </c>
      <c r="AE6" s="125">
        <v>0</v>
      </c>
      <c r="AF6" s="125">
        <v>0</v>
      </c>
      <c r="AG6" s="125">
        <v>0</v>
      </c>
      <c r="AH6" s="125">
        <v>0</v>
      </c>
      <c r="AI6" s="125">
        <v>0</v>
      </c>
      <c r="AJ6" s="125">
        <v>0</v>
      </c>
      <c r="AK6" s="125">
        <v>0</v>
      </c>
      <c r="AL6" s="125">
        <v>0</v>
      </c>
      <c r="AM6" s="125">
        <v>0</v>
      </c>
      <c r="AN6" s="125">
        <v>0</v>
      </c>
      <c r="AO6" s="120">
        <v>0</v>
      </c>
      <c r="AP6" s="114"/>
      <c r="AQ6" s="121" t="s">
        <v>268</v>
      </c>
      <c r="AR6" s="122">
        <f>$D8+$D9+$D12+$D16</f>
        <v>35</v>
      </c>
      <c r="AS6" s="114"/>
    </row>
    <row r="7" spans="1:45" ht="14.25" customHeight="1">
      <c r="A7" s="123" t="s">
        <v>261</v>
      </c>
      <c r="B7" s="123" t="s">
        <v>269</v>
      </c>
      <c r="C7" s="124">
        <v>15</v>
      </c>
      <c r="D7" s="124">
        <v>14</v>
      </c>
      <c r="E7" s="124">
        <v>1</v>
      </c>
      <c r="F7" s="125">
        <v>3</v>
      </c>
      <c r="G7" s="125">
        <v>9</v>
      </c>
      <c r="H7" s="125">
        <v>0</v>
      </c>
      <c r="I7" s="125">
        <v>0</v>
      </c>
      <c r="J7" s="125">
        <v>1</v>
      </c>
      <c r="K7" s="125">
        <v>0</v>
      </c>
      <c r="L7" s="125">
        <v>1</v>
      </c>
      <c r="M7" s="125">
        <v>0</v>
      </c>
      <c r="N7" s="125">
        <v>0</v>
      </c>
      <c r="O7" s="125">
        <v>0</v>
      </c>
      <c r="P7" s="125">
        <v>0</v>
      </c>
      <c r="Q7" s="125">
        <v>0</v>
      </c>
      <c r="R7" s="125">
        <v>0</v>
      </c>
      <c r="S7" s="125">
        <v>0</v>
      </c>
      <c r="T7" s="125">
        <v>0</v>
      </c>
      <c r="U7" s="125">
        <v>0</v>
      </c>
      <c r="V7" s="125">
        <v>0</v>
      </c>
      <c r="W7" s="125">
        <v>0</v>
      </c>
      <c r="X7" s="125">
        <v>0</v>
      </c>
      <c r="Y7" s="125">
        <v>0</v>
      </c>
      <c r="Z7" s="125">
        <v>0</v>
      </c>
      <c r="AA7" s="125">
        <v>0</v>
      </c>
      <c r="AB7" s="125">
        <v>0</v>
      </c>
      <c r="AC7" s="125">
        <v>0</v>
      </c>
      <c r="AD7" s="125">
        <v>0</v>
      </c>
      <c r="AE7" s="125">
        <v>0</v>
      </c>
      <c r="AF7" s="125">
        <v>1</v>
      </c>
      <c r="AG7" s="125">
        <v>0</v>
      </c>
      <c r="AH7" s="125">
        <v>0</v>
      </c>
      <c r="AI7" s="125">
        <v>0</v>
      </c>
      <c r="AJ7" s="125">
        <v>0</v>
      </c>
      <c r="AK7" s="125">
        <v>0</v>
      </c>
      <c r="AL7" s="125">
        <v>0</v>
      </c>
      <c r="AM7" s="125">
        <v>0</v>
      </c>
      <c r="AN7" s="125">
        <v>0</v>
      </c>
      <c r="AO7" s="120">
        <v>0</v>
      </c>
      <c r="AP7" s="114"/>
      <c r="AQ7" s="121" t="s">
        <v>270</v>
      </c>
      <c r="AR7" s="122">
        <f>$D7+$D13+$D18+$D20</f>
        <v>40</v>
      </c>
      <c r="AS7" s="114"/>
    </row>
    <row r="8" spans="1:45" ht="14.25" customHeight="1">
      <c r="A8" s="123" t="s">
        <v>261</v>
      </c>
      <c r="B8" s="123" t="s">
        <v>47</v>
      </c>
      <c r="C8" s="124">
        <v>7</v>
      </c>
      <c r="D8" s="124">
        <v>7</v>
      </c>
      <c r="E8" s="124">
        <v>0</v>
      </c>
      <c r="F8" s="125">
        <v>1</v>
      </c>
      <c r="G8" s="125">
        <v>2</v>
      </c>
      <c r="H8" s="125">
        <v>1</v>
      </c>
      <c r="I8" s="125">
        <v>0</v>
      </c>
      <c r="J8" s="125">
        <v>1</v>
      </c>
      <c r="K8" s="125">
        <v>0</v>
      </c>
      <c r="L8" s="125">
        <v>2</v>
      </c>
      <c r="M8" s="125">
        <v>0</v>
      </c>
      <c r="N8" s="125">
        <v>0</v>
      </c>
      <c r="O8" s="125">
        <v>0</v>
      </c>
      <c r="P8" s="125">
        <v>0</v>
      </c>
      <c r="Q8" s="125">
        <v>0</v>
      </c>
      <c r="R8" s="125">
        <v>0</v>
      </c>
      <c r="S8" s="125">
        <v>0</v>
      </c>
      <c r="T8" s="125">
        <v>0</v>
      </c>
      <c r="U8" s="125">
        <v>0</v>
      </c>
      <c r="V8" s="125">
        <v>0</v>
      </c>
      <c r="W8" s="125">
        <v>0</v>
      </c>
      <c r="X8" s="125">
        <v>0</v>
      </c>
      <c r="Y8" s="125">
        <v>0</v>
      </c>
      <c r="Z8" s="125">
        <v>0</v>
      </c>
      <c r="AA8" s="125">
        <v>0</v>
      </c>
      <c r="AB8" s="125">
        <v>0</v>
      </c>
      <c r="AC8" s="125">
        <v>0</v>
      </c>
      <c r="AD8" s="125">
        <v>0</v>
      </c>
      <c r="AE8" s="125">
        <v>0</v>
      </c>
      <c r="AF8" s="125">
        <v>0</v>
      </c>
      <c r="AG8" s="125">
        <v>0</v>
      </c>
      <c r="AH8" s="125">
        <v>0</v>
      </c>
      <c r="AI8" s="125">
        <v>0</v>
      </c>
      <c r="AJ8" s="125">
        <v>0</v>
      </c>
      <c r="AK8" s="125">
        <v>0</v>
      </c>
      <c r="AL8" s="125">
        <v>0</v>
      </c>
      <c r="AM8" s="125">
        <v>0</v>
      </c>
      <c r="AN8" s="125">
        <v>0</v>
      </c>
      <c r="AO8" s="120">
        <v>0</v>
      </c>
      <c r="AP8" s="114"/>
      <c r="AQ8" s="121" t="s">
        <v>271</v>
      </c>
      <c r="AR8" s="122">
        <f>$D27</f>
        <v>24</v>
      </c>
      <c r="AS8" s="114"/>
    </row>
    <row r="9" spans="1:45" ht="14.25" customHeight="1">
      <c r="A9" s="123" t="s">
        <v>261</v>
      </c>
      <c r="B9" s="123" t="s">
        <v>19</v>
      </c>
      <c r="C9" s="124">
        <v>2</v>
      </c>
      <c r="D9" s="124">
        <v>2</v>
      </c>
      <c r="E9" s="124">
        <v>0</v>
      </c>
      <c r="F9" s="125">
        <v>0</v>
      </c>
      <c r="G9" s="125">
        <v>0</v>
      </c>
      <c r="H9" s="125">
        <v>1</v>
      </c>
      <c r="I9" s="125">
        <v>0</v>
      </c>
      <c r="J9" s="125">
        <v>0</v>
      </c>
      <c r="K9" s="125">
        <v>0</v>
      </c>
      <c r="L9" s="125">
        <v>1</v>
      </c>
      <c r="M9" s="125">
        <v>0</v>
      </c>
      <c r="N9" s="125">
        <v>0</v>
      </c>
      <c r="O9" s="125">
        <v>0</v>
      </c>
      <c r="P9" s="125">
        <v>0</v>
      </c>
      <c r="Q9" s="125">
        <v>0</v>
      </c>
      <c r="R9" s="125">
        <v>0</v>
      </c>
      <c r="S9" s="125">
        <v>0</v>
      </c>
      <c r="T9" s="125">
        <v>0</v>
      </c>
      <c r="U9" s="125">
        <v>0</v>
      </c>
      <c r="V9" s="125">
        <v>0</v>
      </c>
      <c r="W9" s="125">
        <v>0</v>
      </c>
      <c r="X9" s="125">
        <v>0</v>
      </c>
      <c r="Y9" s="125">
        <v>0</v>
      </c>
      <c r="Z9" s="125">
        <v>0</v>
      </c>
      <c r="AA9" s="125">
        <v>0</v>
      </c>
      <c r="AB9" s="125">
        <v>0</v>
      </c>
      <c r="AC9" s="125">
        <v>0</v>
      </c>
      <c r="AD9" s="125">
        <v>0</v>
      </c>
      <c r="AE9" s="125">
        <v>0</v>
      </c>
      <c r="AF9" s="125">
        <v>0</v>
      </c>
      <c r="AG9" s="125">
        <v>0</v>
      </c>
      <c r="AH9" s="125">
        <v>0</v>
      </c>
      <c r="AI9" s="125">
        <v>0</v>
      </c>
      <c r="AJ9" s="125">
        <v>0</v>
      </c>
      <c r="AK9" s="125">
        <v>0</v>
      </c>
      <c r="AL9" s="125">
        <v>0</v>
      </c>
      <c r="AM9" s="125">
        <v>0</v>
      </c>
      <c r="AN9" s="125">
        <v>0</v>
      </c>
      <c r="AO9" s="120">
        <v>1</v>
      </c>
      <c r="AP9" s="114"/>
      <c r="AQ9" s="126" t="s">
        <v>272</v>
      </c>
      <c r="AR9" s="122">
        <f>$E21+$E27</f>
        <v>13</v>
      </c>
      <c r="AS9" s="114"/>
    </row>
    <row r="10" spans="1:45" ht="14.25" customHeight="1">
      <c r="A10" s="123" t="s">
        <v>261</v>
      </c>
      <c r="B10" s="123" t="s">
        <v>29</v>
      </c>
      <c r="C10" s="124">
        <v>13</v>
      </c>
      <c r="D10" s="124">
        <v>12</v>
      </c>
      <c r="E10" s="124">
        <v>1</v>
      </c>
      <c r="F10" s="125">
        <v>2</v>
      </c>
      <c r="G10" s="125">
        <v>2</v>
      </c>
      <c r="H10" s="125">
        <v>2</v>
      </c>
      <c r="I10" s="125">
        <v>1</v>
      </c>
      <c r="J10" s="125">
        <v>5</v>
      </c>
      <c r="K10" s="125">
        <v>0</v>
      </c>
      <c r="L10" s="125">
        <v>0</v>
      </c>
      <c r="M10" s="125">
        <v>0</v>
      </c>
      <c r="N10" s="125">
        <v>0</v>
      </c>
      <c r="O10" s="125">
        <v>0</v>
      </c>
      <c r="P10" s="125">
        <v>0</v>
      </c>
      <c r="Q10" s="125">
        <v>0</v>
      </c>
      <c r="R10" s="125">
        <v>0</v>
      </c>
      <c r="S10" s="125">
        <v>0</v>
      </c>
      <c r="T10" s="125">
        <v>0</v>
      </c>
      <c r="U10" s="125">
        <v>0</v>
      </c>
      <c r="V10" s="125">
        <v>0</v>
      </c>
      <c r="W10" s="125">
        <v>0</v>
      </c>
      <c r="X10" s="125">
        <v>0</v>
      </c>
      <c r="Y10" s="125">
        <v>0</v>
      </c>
      <c r="Z10" s="125">
        <v>0</v>
      </c>
      <c r="AA10" s="125">
        <v>0</v>
      </c>
      <c r="AB10" s="125">
        <v>0</v>
      </c>
      <c r="AC10" s="125">
        <v>0</v>
      </c>
      <c r="AD10" s="125">
        <v>0</v>
      </c>
      <c r="AE10" s="125">
        <v>0</v>
      </c>
      <c r="AF10" s="125">
        <v>1</v>
      </c>
      <c r="AG10" s="125">
        <v>0</v>
      </c>
      <c r="AH10" s="125">
        <v>0</v>
      </c>
      <c r="AI10" s="125">
        <v>0</v>
      </c>
      <c r="AJ10" s="125">
        <v>0</v>
      </c>
      <c r="AK10" s="125">
        <v>0</v>
      </c>
      <c r="AL10" s="125">
        <v>0</v>
      </c>
      <c r="AM10" s="125">
        <v>0</v>
      </c>
      <c r="AN10" s="125">
        <v>0</v>
      </c>
      <c r="AO10" s="120">
        <v>2</v>
      </c>
      <c r="AP10" s="114"/>
      <c r="AQ10" s="127" t="s">
        <v>273</v>
      </c>
      <c r="AR10" s="128"/>
      <c r="AS10" s="114"/>
    </row>
    <row r="11" spans="1:45" ht="14.25" customHeight="1">
      <c r="A11" s="123" t="s">
        <v>261</v>
      </c>
      <c r="B11" s="123" t="s">
        <v>51</v>
      </c>
      <c r="C11" s="124">
        <v>11</v>
      </c>
      <c r="D11" s="124">
        <v>11</v>
      </c>
      <c r="E11" s="124">
        <v>0</v>
      </c>
      <c r="F11" s="125">
        <v>4</v>
      </c>
      <c r="G11" s="125">
        <v>0</v>
      </c>
      <c r="H11" s="125">
        <v>0</v>
      </c>
      <c r="I11" s="125">
        <v>2</v>
      </c>
      <c r="J11" s="125">
        <v>5</v>
      </c>
      <c r="K11" s="125">
        <v>0</v>
      </c>
      <c r="L11" s="125">
        <v>0</v>
      </c>
      <c r="M11" s="125">
        <v>0</v>
      </c>
      <c r="N11" s="125">
        <v>0</v>
      </c>
      <c r="O11" s="125">
        <v>0</v>
      </c>
      <c r="P11" s="125">
        <v>0</v>
      </c>
      <c r="Q11" s="125">
        <v>0</v>
      </c>
      <c r="R11" s="125">
        <v>0</v>
      </c>
      <c r="S11" s="125">
        <v>0</v>
      </c>
      <c r="T11" s="125">
        <v>0</v>
      </c>
      <c r="U11" s="125">
        <v>0</v>
      </c>
      <c r="V11" s="125">
        <v>0</v>
      </c>
      <c r="W11" s="125">
        <v>0</v>
      </c>
      <c r="X11" s="125">
        <v>0</v>
      </c>
      <c r="Y11" s="125">
        <v>0</v>
      </c>
      <c r="Z11" s="125">
        <v>0</v>
      </c>
      <c r="AA11" s="125">
        <v>0</v>
      </c>
      <c r="AB11" s="125">
        <v>0</v>
      </c>
      <c r="AC11" s="125">
        <v>0</v>
      </c>
      <c r="AD11" s="125">
        <v>0</v>
      </c>
      <c r="AE11" s="125">
        <v>0</v>
      </c>
      <c r="AF11" s="125">
        <v>0</v>
      </c>
      <c r="AG11" s="125">
        <v>0</v>
      </c>
      <c r="AH11" s="125">
        <v>0</v>
      </c>
      <c r="AI11" s="125">
        <v>0</v>
      </c>
      <c r="AJ11" s="125">
        <v>0</v>
      </c>
      <c r="AK11" s="125">
        <v>0</v>
      </c>
      <c r="AL11" s="125">
        <v>0</v>
      </c>
      <c r="AM11" s="125">
        <v>0</v>
      </c>
      <c r="AN11" s="125">
        <v>0</v>
      </c>
      <c r="AO11" s="120">
        <v>0</v>
      </c>
      <c r="AP11" s="114"/>
      <c r="AQ11" s="114" t="s">
        <v>274</v>
      </c>
      <c r="AR11" s="114"/>
      <c r="AS11" s="114"/>
    </row>
    <row r="12" spans="1:45" ht="14.25" customHeight="1">
      <c r="A12" s="123" t="s">
        <v>261</v>
      </c>
      <c r="B12" s="123" t="s">
        <v>275</v>
      </c>
      <c r="C12" s="124">
        <v>12</v>
      </c>
      <c r="D12" s="124">
        <v>12</v>
      </c>
      <c r="E12" s="124">
        <v>0</v>
      </c>
      <c r="F12" s="125">
        <v>3</v>
      </c>
      <c r="G12" s="125">
        <v>3</v>
      </c>
      <c r="H12" s="125">
        <v>5</v>
      </c>
      <c r="I12" s="125">
        <v>0</v>
      </c>
      <c r="J12" s="125">
        <v>0</v>
      </c>
      <c r="K12" s="125">
        <v>0</v>
      </c>
      <c r="L12" s="125">
        <v>1</v>
      </c>
      <c r="M12" s="125">
        <v>0</v>
      </c>
      <c r="N12" s="125">
        <v>0</v>
      </c>
      <c r="O12" s="125">
        <v>0</v>
      </c>
      <c r="P12" s="125">
        <v>0</v>
      </c>
      <c r="Q12" s="125">
        <v>0</v>
      </c>
      <c r="R12" s="125">
        <v>0</v>
      </c>
      <c r="S12" s="125">
        <v>0</v>
      </c>
      <c r="T12" s="125">
        <v>0</v>
      </c>
      <c r="U12" s="125">
        <v>0</v>
      </c>
      <c r="V12" s="125">
        <v>0</v>
      </c>
      <c r="W12" s="125">
        <v>0</v>
      </c>
      <c r="X12" s="125">
        <v>0</v>
      </c>
      <c r="Y12" s="125">
        <v>0</v>
      </c>
      <c r="Z12" s="125">
        <v>0</v>
      </c>
      <c r="AA12" s="125">
        <v>0</v>
      </c>
      <c r="AB12" s="125">
        <v>0</v>
      </c>
      <c r="AC12" s="125">
        <v>0</v>
      </c>
      <c r="AD12" s="125">
        <v>0</v>
      </c>
      <c r="AE12" s="125">
        <v>0</v>
      </c>
      <c r="AF12" s="125">
        <v>0</v>
      </c>
      <c r="AG12" s="125">
        <v>0</v>
      </c>
      <c r="AH12" s="125">
        <v>0</v>
      </c>
      <c r="AI12" s="125">
        <v>0</v>
      </c>
      <c r="AJ12" s="125">
        <v>0</v>
      </c>
      <c r="AK12" s="125">
        <v>0</v>
      </c>
      <c r="AL12" s="125">
        <v>0</v>
      </c>
      <c r="AM12" s="125">
        <v>0</v>
      </c>
      <c r="AN12" s="125">
        <v>0</v>
      </c>
      <c r="AO12" s="120">
        <v>0</v>
      </c>
      <c r="AP12" s="114"/>
      <c r="AQ12" s="114" t="s">
        <v>276</v>
      </c>
      <c r="AR12" s="114"/>
      <c r="AS12" s="114"/>
    </row>
    <row r="13" spans="1:45" ht="14.25" customHeight="1">
      <c r="A13" s="123" t="s">
        <v>261</v>
      </c>
      <c r="B13" s="123" t="s">
        <v>277</v>
      </c>
      <c r="C13" s="124">
        <v>10</v>
      </c>
      <c r="D13" s="124">
        <v>9</v>
      </c>
      <c r="E13" s="124">
        <v>1</v>
      </c>
      <c r="F13" s="125">
        <v>0</v>
      </c>
      <c r="G13" s="125">
        <v>3</v>
      </c>
      <c r="H13" s="125">
        <v>5</v>
      </c>
      <c r="I13" s="125">
        <v>0</v>
      </c>
      <c r="J13" s="125">
        <v>0</v>
      </c>
      <c r="K13" s="125">
        <v>0</v>
      </c>
      <c r="L13" s="125">
        <v>1</v>
      </c>
      <c r="M13" s="125">
        <v>0</v>
      </c>
      <c r="N13" s="125">
        <v>0</v>
      </c>
      <c r="O13" s="125">
        <v>0</v>
      </c>
      <c r="P13" s="125">
        <v>0</v>
      </c>
      <c r="Q13" s="125">
        <v>0</v>
      </c>
      <c r="R13" s="125">
        <v>0</v>
      </c>
      <c r="S13" s="125">
        <v>0</v>
      </c>
      <c r="T13" s="125">
        <v>0</v>
      </c>
      <c r="U13" s="125">
        <v>0</v>
      </c>
      <c r="V13" s="125">
        <v>0</v>
      </c>
      <c r="W13" s="125">
        <v>0</v>
      </c>
      <c r="X13" s="125">
        <v>0</v>
      </c>
      <c r="Y13" s="125">
        <v>0</v>
      </c>
      <c r="Z13" s="125">
        <v>0</v>
      </c>
      <c r="AA13" s="125">
        <v>0</v>
      </c>
      <c r="AB13" s="125">
        <v>0</v>
      </c>
      <c r="AC13" s="125">
        <v>0</v>
      </c>
      <c r="AD13" s="125">
        <v>0</v>
      </c>
      <c r="AE13" s="125">
        <v>0</v>
      </c>
      <c r="AF13" s="125">
        <v>0</v>
      </c>
      <c r="AG13" s="125">
        <v>0</v>
      </c>
      <c r="AH13" s="125">
        <v>1</v>
      </c>
      <c r="AI13" s="125">
        <v>0</v>
      </c>
      <c r="AJ13" s="125">
        <v>0</v>
      </c>
      <c r="AK13" s="125">
        <v>0</v>
      </c>
      <c r="AL13" s="125">
        <v>0</v>
      </c>
      <c r="AM13" s="125">
        <v>0</v>
      </c>
      <c r="AN13" s="125">
        <v>0</v>
      </c>
      <c r="AO13" s="120">
        <v>1</v>
      </c>
      <c r="AP13" s="114"/>
      <c r="AQ13" s="114" t="s">
        <v>278</v>
      </c>
      <c r="AR13" s="114"/>
      <c r="AS13" s="114"/>
    </row>
    <row r="14" spans="1:45" ht="14.25" customHeight="1">
      <c r="A14" s="123" t="s">
        <v>261</v>
      </c>
      <c r="B14" s="123" t="s">
        <v>279</v>
      </c>
      <c r="C14" s="124">
        <v>31</v>
      </c>
      <c r="D14" s="124">
        <v>29</v>
      </c>
      <c r="E14" s="124">
        <v>2</v>
      </c>
      <c r="F14" s="125">
        <v>3</v>
      </c>
      <c r="G14" s="125">
        <v>6</v>
      </c>
      <c r="H14" s="125">
        <v>3</v>
      </c>
      <c r="I14" s="125">
        <v>13</v>
      </c>
      <c r="J14" s="125">
        <v>3</v>
      </c>
      <c r="K14" s="125">
        <v>0</v>
      </c>
      <c r="L14" s="125">
        <v>0</v>
      </c>
      <c r="M14" s="125">
        <v>1</v>
      </c>
      <c r="N14" s="125">
        <v>0</v>
      </c>
      <c r="O14" s="125">
        <v>0</v>
      </c>
      <c r="P14" s="125">
        <v>0</v>
      </c>
      <c r="Q14" s="125">
        <v>0</v>
      </c>
      <c r="R14" s="125">
        <v>0</v>
      </c>
      <c r="S14" s="125">
        <v>0</v>
      </c>
      <c r="T14" s="125">
        <v>0</v>
      </c>
      <c r="U14" s="125">
        <v>0</v>
      </c>
      <c r="V14" s="125">
        <v>0</v>
      </c>
      <c r="W14" s="125">
        <v>0</v>
      </c>
      <c r="X14" s="125">
        <v>0</v>
      </c>
      <c r="Y14" s="125">
        <v>0</v>
      </c>
      <c r="Z14" s="125">
        <v>0</v>
      </c>
      <c r="AA14" s="125">
        <v>0</v>
      </c>
      <c r="AB14" s="125">
        <v>0</v>
      </c>
      <c r="AC14" s="125">
        <v>0</v>
      </c>
      <c r="AD14" s="125">
        <v>0</v>
      </c>
      <c r="AE14" s="125">
        <v>0</v>
      </c>
      <c r="AF14" s="125">
        <v>0</v>
      </c>
      <c r="AG14" s="125">
        <v>2</v>
      </c>
      <c r="AH14" s="125">
        <v>0</v>
      </c>
      <c r="AI14" s="125">
        <v>0</v>
      </c>
      <c r="AJ14" s="125">
        <v>0</v>
      </c>
      <c r="AK14" s="125">
        <v>0</v>
      </c>
      <c r="AL14" s="125">
        <v>0</v>
      </c>
      <c r="AM14" s="125">
        <v>0</v>
      </c>
      <c r="AN14" s="125">
        <v>0</v>
      </c>
      <c r="AO14" s="120">
        <v>0</v>
      </c>
      <c r="AP14" s="114"/>
      <c r="AQ14" s="114" t="s">
        <v>280</v>
      </c>
      <c r="AR14" s="114"/>
      <c r="AS14" s="114"/>
    </row>
    <row r="15" spans="1:45" ht="14.25" customHeight="1">
      <c r="A15" s="123" t="s">
        <v>261</v>
      </c>
      <c r="B15" s="123" t="s">
        <v>281</v>
      </c>
      <c r="C15" s="124">
        <v>0</v>
      </c>
      <c r="D15" s="124">
        <v>0</v>
      </c>
      <c r="E15" s="124">
        <v>0</v>
      </c>
      <c r="F15" s="125">
        <v>0</v>
      </c>
      <c r="G15" s="125">
        <v>0</v>
      </c>
      <c r="H15" s="125">
        <v>0</v>
      </c>
      <c r="I15" s="125">
        <v>0</v>
      </c>
      <c r="J15" s="125">
        <v>0</v>
      </c>
      <c r="K15" s="125">
        <v>0</v>
      </c>
      <c r="L15" s="125">
        <v>0</v>
      </c>
      <c r="M15" s="125">
        <v>0</v>
      </c>
      <c r="N15" s="125">
        <v>0</v>
      </c>
      <c r="O15" s="125">
        <v>0</v>
      </c>
      <c r="P15" s="125">
        <v>0</v>
      </c>
      <c r="Q15" s="125">
        <v>0</v>
      </c>
      <c r="R15" s="125">
        <v>0</v>
      </c>
      <c r="S15" s="125">
        <v>0</v>
      </c>
      <c r="T15" s="125">
        <v>0</v>
      </c>
      <c r="U15" s="125">
        <v>0</v>
      </c>
      <c r="V15" s="125">
        <v>0</v>
      </c>
      <c r="W15" s="125">
        <v>0</v>
      </c>
      <c r="X15" s="125">
        <v>0</v>
      </c>
      <c r="Y15" s="125">
        <v>0</v>
      </c>
      <c r="Z15" s="125">
        <v>0</v>
      </c>
      <c r="AA15" s="125">
        <v>0</v>
      </c>
      <c r="AB15" s="125">
        <v>0</v>
      </c>
      <c r="AC15" s="125">
        <v>0</v>
      </c>
      <c r="AD15" s="125">
        <v>0</v>
      </c>
      <c r="AE15" s="125">
        <v>0</v>
      </c>
      <c r="AF15" s="125">
        <v>0</v>
      </c>
      <c r="AG15" s="125">
        <v>0</v>
      </c>
      <c r="AH15" s="125">
        <v>0</v>
      </c>
      <c r="AI15" s="125">
        <v>0</v>
      </c>
      <c r="AJ15" s="125">
        <v>0</v>
      </c>
      <c r="AK15" s="125">
        <v>0</v>
      </c>
      <c r="AL15" s="125">
        <v>0</v>
      </c>
      <c r="AM15" s="125">
        <v>0</v>
      </c>
      <c r="AN15" s="125">
        <v>0</v>
      </c>
      <c r="AO15" s="120">
        <v>1</v>
      </c>
      <c r="AP15" s="114"/>
      <c r="AQ15" s="114" t="s">
        <v>282</v>
      </c>
      <c r="AR15" s="114"/>
      <c r="AS15" s="114"/>
    </row>
    <row r="16" spans="1:45" ht="14.25" customHeight="1">
      <c r="A16" s="123" t="s">
        <v>261</v>
      </c>
      <c r="B16" s="123" t="s">
        <v>283</v>
      </c>
      <c r="C16" s="124">
        <v>14</v>
      </c>
      <c r="D16" s="124">
        <v>14</v>
      </c>
      <c r="E16" s="124">
        <v>0</v>
      </c>
      <c r="F16" s="125">
        <v>3</v>
      </c>
      <c r="G16" s="125">
        <v>2</v>
      </c>
      <c r="H16" s="125">
        <v>5</v>
      </c>
      <c r="I16" s="125">
        <v>0</v>
      </c>
      <c r="J16" s="125">
        <v>1</v>
      </c>
      <c r="K16" s="125">
        <v>0</v>
      </c>
      <c r="L16" s="125">
        <v>3</v>
      </c>
      <c r="M16" s="125">
        <v>0</v>
      </c>
      <c r="N16" s="125">
        <v>0</v>
      </c>
      <c r="O16" s="125">
        <v>0</v>
      </c>
      <c r="P16" s="125">
        <v>0</v>
      </c>
      <c r="Q16" s="125">
        <v>0</v>
      </c>
      <c r="R16" s="125">
        <v>0</v>
      </c>
      <c r="S16" s="125">
        <v>0</v>
      </c>
      <c r="T16" s="125">
        <v>0</v>
      </c>
      <c r="U16" s="125">
        <v>0</v>
      </c>
      <c r="V16" s="125">
        <v>0</v>
      </c>
      <c r="W16" s="125">
        <v>0</v>
      </c>
      <c r="X16" s="125">
        <v>0</v>
      </c>
      <c r="Y16" s="125">
        <v>0</v>
      </c>
      <c r="Z16" s="125">
        <v>0</v>
      </c>
      <c r="AA16" s="125">
        <v>0</v>
      </c>
      <c r="AB16" s="125">
        <v>0</v>
      </c>
      <c r="AC16" s="125">
        <v>0</v>
      </c>
      <c r="AD16" s="125">
        <v>0</v>
      </c>
      <c r="AE16" s="125">
        <v>0</v>
      </c>
      <c r="AF16" s="125">
        <v>0</v>
      </c>
      <c r="AG16" s="125">
        <v>0</v>
      </c>
      <c r="AH16" s="125">
        <v>0</v>
      </c>
      <c r="AI16" s="125">
        <v>0</v>
      </c>
      <c r="AJ16" s="125">
        <v>0</v>
      </c>
      <c r="AK16" s="125">
        <v>0</v>
      </c>
      <c r="AL16" s="125">
        <v>0</v>
      </c>
      <c r="AM16" s="125">
        <v>0</v>
      </c>
      <c r="AN16" s="125">
        <v>0</v>
      </c>
      <c r="AO16" s="120">
        <v>0</v>
      </c>
      <c r="AP16" s="114"/>
      <c r="AQ16" s="114" t="s">
        <v>284</v>
      </c>
      <c r="AR16" s="114"/>
      <c r="AS16" s="114"/>
    </row>
    <row r="17" spans="1:45" ht="14.25" customHeight="1">
      <c r="A17" s="123" t="s">
        <v>261</v>
      </c>
      <c r="B17" s="123" t="s">
        <v>285</v>
      </c>
      <c r="C17" s="124">
        <v>9</v>
      </c>
      <c r="D17" s="124">
        <v>9</v>
      </c>
      <c r="E17" s="124">
        <v>0</v>
      </c>
      <c r="F17" s="125">
        <v>1</v>
      </c>
      <c r="G17" s="125">
        <v>0</v>
      </c>
      <c r="H17" s="125">
        <v>1</v>
      </c>
      <c r="I17" s="125">
        <v>4</v>
      </c>
      <c r="J17" s="125">
        <v>0</v>
      </c>
      <c r="K17" s="125">
        <v>0</v>
      </c>
      <c r="L17" s="125">
        <v>2</v>
      </c>
      <c r="M17" s="125">
        <v>0</v>
      </c>
      <c r="N17" s="125">
        <v>0</v>
      </c>
      <c r="O17" s="125">
        <v>0</v>
      </c>
      <c r="P17" s="125">
        <v>0</v>
      </c>
      <c r="Q17" s="125">
        <v>0</v>
      </c>
      <c r="R17" s="125">
        <v>0</v>
      </c>
      <c r="S17" s="125">
        <v>0</v>
      </c>
      <c r="T17" s="125">
        <v>0</v>
      </c>
      <c r="U17" s="125">
        <v>0</v>
      </c>
      <c r="V17" s="125">
        <v>0</v>
      </c>
      <c r="W17" s="125">
        <v>1</v>
      </c>
      <c r="X17" s="125">
        <v>0</v>
      </c>
      <c r="Y17" s="125">
        <v>0</v>
      </c>
      <c r="Z17" s="125">
        <v>0</v>
      </c>
      <c r="AA17" s="125">
        <v>0</v>
      </c>
      <c r="AB17" s="125">
        <v>0</v>
      </c>
      <c r="AC17" s="125">
        <v>0</v>
      </c>
      <c r="AD17" s="125">
        <v>0</v>
      </c>
      <c r="AE17" s="125">
        <v>0</v>
      </c>
      <c r="AF17" s="125">
        <v>0</v>
      </c>
      <c r="AG17" s="125">
        <v>0</v>
      </c>
      <c r="AH17" s="125">
        <v>0</v>
      </c>
      <c r="AI17" s="125">
        <v>0</v>
      </c>
      <c r="AJ17" s="125">
        <v>0</v>
      </c>
      <c r="AK17" s="125">
        <v>0</v>
      </c>
      <c r="AL17" s="125">
        <v>0</v>
      </c>
      <c r="AM17" s="125">
        <v>0</v>
      </c>
      <c r="AN17" s="125">
        <v>0</v>
      </c>
      <c r="AO17" s="120">
        <v>1</v>
      </c>
      <c r="AP17" s="114"/>
      <c r="AQ17" s="114" t="s">
        <v>286</v>
      </c>
      <c r="AR17" s="114"/>
      <c r="AS17" s="114"/>
    </row>
    <row r="18" spans="1:45" ht="14.25" customHeight="1">
      <c r="A18" s="123" t="s">
        <v>261</v>
      </c>
      <c r="B18" s="123" t="s">
        <v>287</v>
      </c>
      <c r="C18" s="124">
        <v>19</v>
      </c>
      <c r="D18" s="124">
        <v>17</v>
      </c>
      <c r="E18" s="124">
        <v>2</v>
      </c>
      <c r="F18" s="125">
        <v>7</v>
      </c>
      <c r="G18" s="125">
        <v>3</v>
      </c>
      <c r="H18" s="125">
        <v>5</v>
      </c>
      <c r="I18" s="125">
        <v>0</v>
      </c>
      <c r="J18" s="125">
        <v>1</v>
      </c>
      <c r="K18" s="125">
        <v>0</v>
      </c>
      <c r="L18" s="125">
        <v>1</v>
      </c>
      <c r="M18" s="125">
        <v>0</v>
      </c>
      <c r="N18" s="125">
        <v>0</v>
      </c>
      <c r="O18" s="125">
        <v>0</v>
      </c>
      <c r="P18" s="125">
        <v>0</v>
      </c>
      <c r="Q18" s="125">
        <v>0</v>
      </c>
      <c r="R18" s="125">
        <v>0</v>
      </c>
      <c r="S18" s="125">
        <v>0</v>
      </c>
      <c r="T18" s="125">
        <v>0</v>
      </c>
      <c r="U18" s="125">
        <v>0</v>
      </c>
      <c r="V18" s="125">
        <v>0</v>
      </c>
      <c r="W18" s="125">
        <v>0</v>
      </c>
      <c r="X18" s="125">
        <v>0</v>
      </c>
      <c r="Y18" s="125">
        <v>0</v>
      </c>
      <c r="Z18" s="125">
        <v>0</v>
      </c>
      <c r="AA18" s="125">
        <v>0</v>
      </c>
      <c r="AB18" s="125">
        <v>0</v>
      </c>
      <c r="AC18" s="125">
        <v>0</v>
      </c>
      <c r="AD18" s="125">
        <v>0</v>
      </c>
      <c r="AE18" s="125">
        <v>0</v>
      </c>
      <c r="AF18" s="125">
        <v>0</v>
      </c>
      <c r="AG18" s="125">
        <v>1</v>
      </c>
      <c r="AH18" s="125">
        <v>1</v>
      </c>
      <c r="AI18" s="125">
        <v>0</v>
      </c>
      <c r="AJ18" s="125">
        <v>0</v>
      </c>
      <c r="AK18" s="125">
        <v>0</v>
      </c>
      <c r="AL18" s="125">
        <v>0</v>
      </c>
      <c r="AM18" s="125">
        <v>0</v>
      </c>
      <c r="AN18" s="125">
        <v>0</v>
      </c>
      <c r="AO18" s="120">
        <v>0</v>
      </c>
      <c r="AP18" s="114"/>
      <c r="AQ18" s="114" t="s">
        <v>288</v>
      </c>
      <c r="AR18" s="114"/>
      <c r="AS18" s="114"/>
    </row>
    <row r="19" spans="1:45" ht="14.25" customHeight="1">
      <c r="A19" s="123" t="s">
        <v>261</v>
      </c>
      <c r="B19" s="123" t="s">
        <v>289</v>
      </c>
      <c r="C19" s="124">
        <v>0</v>
      </c>
      <c r="D19" s="124">
        <v>0</v>
      </c>
      <c r="E19" s="124">
        <v>0</v>
      </c>
      <c r="F19" s="125">
        <v>0</v>
      </c>
      <c r="G19" s="125">
        <v>0</v>
      </c>
      <c r="H19" s="125">
        <v>0</v>
      </c>
      <c r="I19" s="125">
        <v>0</v>
      </c>
      <c r="J19" s="125">
        <v>0</v>
      </c>
      <c r="K19" s="125">
        <v>0</v>
      </c>
      <c r="L19" s="125">
        <v>0</v>
      </c>
      <c r="M19" s="125">
        <v>0</v>
      </c>
      <c r="N19" s="125">
        <v>0</v>
      </c>
      <c r="O19" s="125">
        <v>0</v>
      </c>
      <c r="P19" s="125">
        <v>0</v>
      </c>
      <c r="Q19" s="125">
        <v>0</v>
      </c>
      <c r="R19" s="125">
        <v>0</v>
      </c>
      <c r="S19" s="125">
        <v>0</v>
      </c>
      <c r="T19" s="125">
        <v>0</v>
      </c>
      <c r="U19" s="125">
        <v>0</v>
      </c>
      <c r="V19" s="125">
        <v>0</v>
      </c>
      <c r="W19" s="125">
        <v>0</v>
      </c>
      <c r="X19" s="125">
        <v>0</v>
      </c>
      <c r="Y19" s="125">
        <v>0</v>
      </c>
      <c r="Z19" s="125">
        <v>0</v>
      </c>
      <c r="AA19" s="125">
        <v>0</v>
      </c>
      <c r="AB19" s="125">
        <v>0</v>
      </c>
      <c r="AC19" s="125">
        <v>0</v>
      </c>
      <c r="AD19" s="125">
        <v>0</v>
      </c>
      <c r="AE19" s="125">
        <v>0</v>
      </c>
      <c r="AF19" s="125">
        <v>0</v>
      </c>
      <c r="AG19" s="125">
        <v>0</v>
      </c>
      <c r="AH19" s="125">
        <v>0</v>
      </c>
      <c r="AI19" s="125">
        <v>0</v>
      </c>
      <c r="AJ19" s="125">
        <v>0</v>
      </c>
      <c r="AK19" s="125">
        <v>0</v>
      </c>
      <c r="AL19" s="125">
        <v>0</v>
      </c>
      <c r="AM19" s="125">
        <v>0</v>
      </c>
      <c r="AN19" s="125">
        <v>0</v>
      </c>
      <c r="AO19" s="120">
        <v>0</v>
      </c>
      <c r="AP19" s="114"/>
      <c r="AQ19" s="114" t="s">
        <v>290</v>
      </c>
      <c r="AR19" s="114"/>
      <c r="AS19" s="114"/>
    </row>
    <row r="20" spans="1:45" ht="14.25" customHeight="1">
      <c r="A20" s="123" t="s">
        <v>261</v>
      </c>
      <c r="B20" s="123" t="s">
        <v>291</v>
      </c>
      <c r="C20" s="124">
        <v>0</v>
      </c>
      <c r="D20" s="124">
        <v>0</v>
      </c>
      <c r="E20" s="124">
        <v>0</v>
      </c>
      <c r="F20" s="125">
        <v>0</v>
      </c>
      <c r="G20" s="125">
        <v>0</v>
      </c>
      <c r="H20" s="125">
        <v>0</v>
      </c>
      <c r="I20" s="125">
        <v>0</v>
      </c>
      <c r="J20" s="125">
        <v>0</v>
      </c>
      <c r="K20" s="125">
        <v>0</v>
      </c>
      <c r="L20" s="125">
        <v>0</v>
      </c>
      <c r="M20" s="125">
        <v>0</v>
      </c>
      <c r="N20" s="125">
        <v>0</v>
      </c>
      <c r="O20" s="125">
        <v>0</v>
      </c>
      <c r="P20" s="125">
        <v>0</v>
      </c>
      <c r="Q20" s="125">
        <v>0</v>
      </c>
      <c r="R20" s="125">
        <v>0</v>
      </c>
      <c r="S20" s="125">
        <v>0</v>
      </c>
      <c r="T20" s="125">
        <v>0</v>
      </c>
      <c r="U20" s="125">
        <v>0</v>
      </c>
      <c r="V20" s="125">
        <v>0</v>
      </c>
      <c r="W20" s="125">
        <v>0</v>
      </c>
      <c r="X20" s="125">
        <v>0</v>
      </c>
      <c r="Y20" s="125">
        <v>0</v>
      </c>
      <c r="Z20" s="125">
        <v>0</v>
      </c>
      <c r="AA20" s="125">
        <v>0</v>
      </c>
      <c r="AB20" s="125">
        <v>0</v>
      </c>
      <c r="AC20" s="125">
        <v>0</v>
      </c>
      <c r="AD20" s="125">
        <v>0</v>
      </c>
      <c r="AE20" s="125">
        <v>0</v>
      </c>
      <c r="AF20" s="125">
        <v>0</v>
      </c>
      <c r="AG20" s="125">
        <v>0</v>
      </c>
      <c r="AH20" s="125">
        <v>0</v>
      </c>
      <c r="AI20" s="125">
        <v>0</v>
      </c>
      <c r="AJ20" s="125">
        <v>0</v>
      </c>
      <c r="AK20" s="125">
        <v>0</v>
      </c>
      <c r="AL20" s="125">
        <v>0</v>
      </c>
      <c r="AM20" s="125">
        <v>0</v>
      </c>
      <c r="AN20" s="125">
        <v>0</v>
      </c>
      <c r="AO20" s="120">
        <v>0</v>
      </c>
      <c r="AP20" s="114"/>
      <c r="AQ20" s="114" t="s">
        <v>292</v>
      </c>
      <c r="AR20" s="114"/>
      <c r="AS20" s="114"/>
    </row>
    <row r="21" spans="1:45" ht="14.25" customHeight="1">
      <c r="A21" s="3" t="s">
        <v>293</v>
      </c>
      <c r="B21" s="3"/>
      <c r="C21" s="129">
        <v>204</v>
      </c>
      <c r="D21" s="129">
        <v>194</v>
      </c>
      <c r="E21" s="129">
        <v>10</v>
      </c>
      <c r="F21" s="129">
        <v>34</v>
      </c>
      <c r="G21" s="129">
        <v>38</v>
      </c>
      <c r="H21" s="129">
        <v>32</v>
      </c>
      <c r="I21" s="129">
        <v>44</v>
      </c>
      <c r="J21" s="129">
        <v>32</v>
      </c>
      <c r="K21" s="129">
        <v>0</v>
      </c>
      <c r="L21" s="129">
        <v>12</v>
      </c>
      <c r="M21" s="129">
        <v>1</v>
      </c>
      <c r="N21" s="129">
        <v>0</v>
      </c>
      <c r="O21" s="129">
        <v>0</v>
      </c>
      <c r="P21" s="129">
        <v>0</v>
      </c>
      <c r="Q21" s="129">
        <v>0</v>
      </c>
      <c r="R21" s="129">
        <v>0</v>
      </c>
      <c r="S21" s="129">
        <v>0</v>
      </c>
      <c r="T21" s="129">
        <v>0</v>
      </c>
      <c r="U21" s="129">
        <v>0</v>
      </c>
      <c r="V21" s="129">
        <v>0</v>
      </c>
      <c r="W21" s="129">
        <v>1</v>
      </c>
      <c r="X21" s="129">
        <v>0</v>
      </c>
      <c r="Y21" s="129">
        <v>0</v>
      </c>
      <c r="Z21" s="129">
        <v>0</v>
      </c>
      <c r="AA21" s="129">
        <v>0</v>
      </c>
      <c r="AB21" s="129">
        <v>0</v>
      </c>
      <c r="AC21" s="129">
        <v>0</v>
      </c>
      <c r="AD21" s="129">
        <v>0</v>
      </c>
      <c r="AE21" s="129">
        <v>0</v>
      </c>
      <c r="AF21" s="129">
        <v>4</v>
      </c>
      <c r="AG21" s="129">
        <v>3</v>
      </c>
      <c r="AH21" s="129">
        <v>2</v>
      </c>
      <c r="AI21" s="129">
        <v>0</v>
      </c>
      <c r="AJ21" s="129">
        <v>0</v>
      </c>
      <c r="AK21" s="129">
        <v>0</v>
      </c>
      <c r="AL21" s="129">
        <v>0</v>
      </c>
      <c r="AM21" s="129">
        <v>1</v>
      </c>
      <c r="AN21" s="129">
        <v>0</v>
      </c>
      <c r="AO21" s="130">
        <v>9</v>
      </c>
      <c r="AP21" s="114"/>
      <c r="AQ21" s="114" t="s">
        <v>294</v>
      </c>
      <c r="AR21" s="114"/>
      <c r="AS21" s="114"/>
    </row>
    <row r="22" spans="1:45" ht="14.25" customHeight="1">
      <c r="A22" s="123" t="s">
        <v>295</v>
      </c>
      <c r="B22" s="123" t="s">
        <v>296</v>
      </c>
      <c r="C22" s="124">
        <v>2</v>
      </c>
      <c r="D22" s="124">
        <v>0</v>
      </c>
      <c r="E22" s="124">
        <v>2</v>
      </c>
      <c r="F22" s="125">
        <v>0</v>
      </c>
      <c r="G22" s="125">
        <v>0</v>
      </c>
      <c r="H22" s="125">
        <v>0</v>
      </c>
      <c r="I22" s="125">
        <v>0</v>
      </c>
      <c r="J22" s="125">
        <v>0</v>
      </c>
      <c r="K22" s="125">
        <v>0</v>
      </c>
      <c r="L22" s="125">
        <v>0</v>
      </c>
      <c r="M22" s="125">
        <v>0</v>
      </c>
      <c r="N22" s="125">
        <v>0</v>
      </c>
      <c r="O22" s="125">
        <v>0</v>
      </c>
      <c r="P22" s="125">
        <v>0</v>
      </c>
      <c r="Q22" s="125">
        <v>0</v>
      </c>
      <c r="R22" s="125">
        <v>0</v>
      </c>
      <c r="S22" s="125">
        <v>0</v>
      </c>
      <c r="T22" s="125">
        <v>0</v>
      </c>
      <c r="U22" s="125">
        <v>0</v>
      </c>
      <c r="V22" s="125">
        <v>0</v>
      </c>
      <c r="W22" s="125">
        <v>0</v>
      </c>
      <c r="X22" s="125">
        <v>0</v>
      </c>
      <c r="Y22" s="125">
        <v>0</v>
      </c>
      <c r="Z22" s="125">
        <v>0</v>
      </c>
      <c r="AA22" s="125">
        <v>0</v>
      </c>
      <c r="AB22" s="125">
        <v>0</v>
      </c>
      <c r="AC22" s="125">
        <v>0</v>
      </c>
      <c r="AD22" s="125">
        <v>0</v>
      </c>
      <c r="AE22" s="125">
        <v>0</v>
      </c>
      <c r="AF22" s="125">
        <v>0</v>
      </c>
      <c r="AG22" s="125">
        <v>0</v>
      </c>
      <c r="AH22" s="125">
        <v>2</v>
      </c>
      <c r="AI22" s="125">
        <v>0</v>
      </c>
      <c r="AJ22" s="125">
        <v>0</v>
      </c>
      <c r="AK22" s="125">
        <v>0</v>
      </c>
      <c r="AL22" s="125">
        <v>0</v>
      </c>
      <c r="AM22" s="125">
        <v>0</v>
      </c>
      <c r="AN22" s="125">
        <v>0</v>
      </c>
      <c r="AO22" s="120">
        <v>0</v>
      </c>
      <c r="AP22" s="114"/>
      <c r="AQ22" s="114" t="s">
        <v>297</v>
      </c>
      <c r="AR22" s="114"/>
      <c r="AS22" s="114"/>
    </row>
    <row r="23" spans="1:45" ht="14.25" customHeight="1">
      <c r="A23" s="123" t="s">
        <v>295</v>
      </c>
      <c r="B23" s="123" t="s">
        <v>298</v>
      </c>
      <c r="C23" s="124">
        <v>0</v>
      </c>
      <c r="D23" s="124">
        <v>0</v>
      </c>
      <c r="E23" s="124">
        <v>0</v>
      </c>
      <c r="F23" s="125">
        <v>0</v>
      </c>
      <c r="G23" s="125">
        <v>0</v>
      </c>
      <c r="H23" s="125">
        <v>0</v>
      </c>
      <c r="I23" s="125">
        <v>0</v>
      </c>
      <c r="J23" s="125">
        <v>0</v>
      </c>
      <c r="K23" s="125">
        <v>0</v>
      </c>
      <c r="L23" s="125">
        <v>0</v>
      </c>
      <c r="M23" s="125">
        <v>0</v>
      </c>
      <c r="N23" s="125">
        <v>0</v>
      </c>
      <c r="O23" s="125">
        <v>0</v>
      </c>
      <c r="P23" s="125">
        <v>0</v>
      </c>
      <c r="Q23" s="125">
        <v>0</v>
      </c>
      <c r="R23" s="125">
        <v>0</v>
      </c>
      <c r="S23" s="125">
        <v>0</v>
      </c>
      <c r="T23" s="125">
        <v>0</v>
      </c>
      <c r="U23" s="125">
        <v>0</v>
      </c>
      <c r="V23" s="125">
        <v>0</v>
      </c>
      <c r="W23" s="125">
        <v>0</v>
      </c>
      <c r="X23" s="125">
        <v>0</v>
      </c>
      <c r="Y23" s="125">
        <v>0</v>
      </c>
      <c r="Z23" s="125">
        <v>0</v>
      </c>
      <c r="AA23" s="125">
        <v>0</v>
      </c>
      <c r="AB23" s="125">
        <v>0</v>
      </c>
      <c r="AC23" s="125">
        <v>0</v>
      </c>
      <c r="AD23" s="125">
        <v>0</v>
      </c>
      <c r="AE23" s="125">
        <v>0</v>
      </c>
      <c r="AF23" s="125">
        <v>0</v>
      </c>
      <c r="AG23" s="125">
        <v>0</v>
      </c>
      <c r="AH23" s="125">
        <v>0</v>
      </c>
      <c r="AI23" s="125">
        <v>0</v>
      </c>
      <c r="AJ23" s="125">
        <v>0</v>
      </c>
      <c r="AK23" s="125">
        <v>0</v>
      </c>
      <c r="AL23" s="125">
        <v>0</v>
      </c>
      <c r="AM23" s="125">
        <v>0</v>
      </c>
      <c r="AN23" s="125">
        <v>0</v>
      </c>
      <c r="AO23" s="120">
        <v>0</v>
      </c>
      <c r="AP23" s="114"/>
      <c r="AQ23" s="114"/>
      <c r="AR23" s="114"/>
      <c r="AS23" s="114"/>
    </row>
    <row r="24" spans="1:45" ht="14.25" customHeight="1">
      <c r="A24" s="123" t="s">
        <v>295</v>
      </c>
      <c r="B24" s="123" t="s">
        <v>299</v>
      </c>
      <c r="C24" s="124">
        <v>6</v>
      </c>
      <c r="D24" s="124">
        <v>5</v>
      </c>
      <c r="E24" s="124">
        <v>1</v>
      </c>
      <c r="F24" s="125">
        <v>3</v>
      </c>
      <c r="G24" s="125">
        <v>0</v>
      </c>
      <c r="H24" s="125">
        <v>1</v>
      </c>
      <c r="I24" s="125">
        <v>0</v>
      </c>
      <c r="J24" s="125">
        <v>0</v>
      </c>
      <c r="K24" s="125">
        <v>0</v>
      </c>
      <c r="L24" s="125">
        <v>0</v>
      </c>
      <c r="M24" s="125">
        <v>0</v>
      </c>
      <c r="N24" s="125">
        <v>0</v>
      </c>
      <c r="O24" s="125">
        <v>0</v>
      </c>
      <c r="P24" s="125">
        <v>0</v>
      </c>
      <c r="Q24" s="125">
        <v>0</v>
      </c>
      <c r="R24" s="125">
        <v>0</v>
      </c>
      <c r="S24" s="125">
        <v>0</v>
      </c>
      <c r="T24" s="125">
        <v>0</v>
      </c>
      <c r="U24" s="125">
        <v>0</v>
      </c>
      <c r="V24" s="125">
        <v>0</v>
      </c>
      <c r="W24" s="125">
        <v>0</v>
      </c>
      <c r="X24" s="125">
        <v>0</v>
      </c>
      <c r="Y24" s="125">
        <v>0</v>
      </c>
      <c r="Z24" s="125">
        <v>0</v>
      </c>
      <c r="AA24" s="125">
        <v>0</v>
      </c>
      <c r="AB24" s="125">
        <v>1</v>
      </c>
      <c r="AC24" s="125">
        <v>0</v>
      </c>
      <c r="AD24" s="125">
        <v>0</v>
      </c>
      <c r="AE24" s="125">
        <v>0</v>
      </c>
      <c r="AF24" s="125">
        <v>0</v>
      </c>
      <c r="AG24" s="125">
        <v>0</v>
      </c>
      <c r="AH24" s="125">
        <v>0</v>
      </c>
      <c r="AI24" s="125">
        <v>1</v>
      </c>
      <c r="AJ24" s="125">
        <v>0</v>
      </c>
      <c r="AK24" s="125">
        <v>0</v>
      </c>
      <c r="AL24" s="125">
        <v>0</v>
      </c>
      <c r="AM24" s="125">
        <v>0</v>
      </c>
      <c r="AN24" s="125">
        <v>0</v>
      </c>
      <c r="AO24" s="120">
        <v>0</v>
      </c>
      <c r="AP24" s="114"/>
      <c r="AQ24" s="114"/>
      <c r="AR24" s="114"/>
      <c r="AS24" s="114"/>
    </row>
    <row r="25" spans="1:45" ht="14.25" customHeight="1">
      <c r="A25" s="123" t="s">
        <v>295</v>
      </c>
      <c r="B25" s="123" t="s">
        <v>300</v>
      </c>
      <c r="C25" s="124">
        <v>9</v>
      </c>
      <c r="D25" s="124">
        <v>9</v>
      </c>
      <c r="E25" s="124">
        <v>0</v>
      </c>
      <c r="F25" s="125">
        <v>3</v>
      </c>
      <c r="G25" s="125">
        <v>5</v>
      </c>
      <c r="H25" s="125">
        <v>1</v>
      </c>
      <c r="I25" s="125">
        <v>0</v>
      </c>
      <c r="J25" s="125">
        <v>0</v>
      </c>
      <c r="K25" s="125">
        <v>0</v>
      </c>
      <c r="L25" s="125">
        <v>0</v>
      </c>
      <c r="M25" s="125">
        <v>0</v>
      </c>
      <c r="N25" s="125">
        <v>0</v>
      </c>
      <c r="O25" s="125">
        <v>0</v>
      </c>
      <c r="P25" s="125">
        <v>0</v>
      </c>
      <c r="Q25" s="125">
        <v>0</v>
      </c>
      <c r="R25" s="125">
        <v>0</v>
      </c>
      <c r="S25" s="125">
        <v>0</v>
      </c>
      <c r="T25" s="125">
        <v>0</v>
      </c>
      <c r="U25" s="125">
        <v>0</v>
      </c>
      <c r="V25" s="125">
        <v>0</v>
      </c>
      <c r="W25" s="125">
        <v>0</v>
      </c>
      <c r="X25" s="125">
        <v>0</v>
      </c>
      <c r="Y25" s="125">
        <v>0</v>
      </c>
      <c r="Z25" s="125">
        <v>0</v>
      </c>
      <c r="AA25" s="125">
        <v>0</v>
      </c>
      <c r="AB25" s="125">
        <v>0</v>
      </c>
      <c r="AC25" s="125">
        <v>0</v>
      </c>
      <c r="AD25" s="125">
        <v>0</v>
      </c>
      <c r="AE25" s="125">
        <v>0</v>
      </c>
      <c r="AF25" s="125">
        <v>0</v>
      </c>
      <c r="AG25" s="125">
        <v>0</v>
      </c>
      <c r="AH25" s="125">
        <v>0</v>
      </c>
      <c r="AI25" s="125">
        <v>0</v>
      </c>
      <c r="AJ25" s="125">
        <v>0</v>
      </c>
      <c r="AK25" s="125">
        <v>0</v>
      </c>
      <c r="AL25" s="125">
        <v>0</v>
      </c>
      <c r="AM25" s="125">
        <v>0</v>
      </c>
      <c r="AN25" s="125">
        <v>0</v>
      </c>
      <c r="AO25" s="120">
        <v>0</v>
      </c>
      <c r="AP25" s="114"/>
      <c r="AQ25" s="114"/>
      <c r="AR25" s="114"/>
      <c r="AS25" s="114"/>
    </row>
    <row r="26" spans="1:45" ht="14.25" customHeight="1">
      <c r="A26" s="123" t="s">
        <v>295</v>
      </c>
      <c r="B26" s="123" t="s">
        <v>301</v>
      </c>
      <c r="C26" s="124">
        <v>10</v>
      </c>
      <c r="D26" s="124">
        <v>10</v>
      </c>
      <c r="E26" s="124">
        <v>0</v>
      </c>
      <c r="F26" s="125">
        <v>4</v>
      </c>
      <c r="G26" s="125">
        <v>1</v>
      </c>
      <c r="H26" s="125">
        <v>3</v>
      </c>
      <c r="I26" s="125">
        <v>0</v>
      </c>
      <c r="J26" s="125">
        <v>0</v>
      </c>
      <c r="K26" s="125">
        <v>0</v>
      </c>
      <c r="L26" s="125">
        <v>0</v>
      </c>
      <c r="M26" s="125">
        <v>1</v>
      </c>
      <c r="N26" s="125">
        <v>0</v>
      </c>
      <c r="O26" s="125">
        <v>0</v>
      </c>
      <c r="P26" s="125">
        <v>0</v>
      </c>
      <c r="Q26" s="125">
        <v>0</v>
      </c>
      <c r="R26" s="125">
        <v>0</v>
      </c>
      <c r="S26" s="125">
        <v>0</v>
      </c>
      <c r="T26" s="125">
        <v>0</v>
      </c>
      <c r="U26" s="125">
        <v>0</v>
      </c>
      <c r="V26" s="125">
        <v>1</v>
      </c>
      <c r="W26" s="125">
        <v>0</v>
      </c>
      <c r="X26" s="125">
        <v>0</v>
      </c>
      <c r="Y26" s="125">
        <v>0</v>
      </c>
      <c r="Z26" s="125">
        <v>0</v>
      </c>
      <c r="AA26" s="125">
        <v>0</v>
      </c>
      <c r="AB26" s="125">
        <v>0</v>
      </c>
      <c r="AC26" s="125">
        <v>0</v>
      </c>
      <c r="AD26" s="125">
        <v>0</v>
      </c>
      <c r="AE26" s="125">
        <v>0</v>
      </c>
      <c r="AF26" s="125">
        <v>0</v>
      </c>
      <c r="AG26" s="125">
        <v>0</v>
      </c>
      <c r="AH26" s="125">
        <v>0</v>
      </c>
      <c r="AI26" s="125">
        <v>0</v>
      </c>
      <c r="AJ26" s="125">
        <v>0</v>
      </c>
      <c r="AK26" s="125">
        <v>0</v>
      </c>
      <c r="AL26" s="125">
        <v>0</v>
      </c>
      <c r="AM26" s="125">
        <v>0</v>
      </c>
      <c r="AN26" s="125">
        <v>0</v>
      </c>
      <c r="AO26" s="120">
        <v>0</v>
      </c>
      <c r="AP26" s="114"/>
      <c r="AQ26" s="114"/>
      <c r="AR26" s="114"/>
      <c r="AS26" s="114"/>
    </row>
    <row r="27" spans="1:45" ht="14.25" customHeight="1">
      <c r="A27" s="3" t="s">
        <v>302</v>
      </c>
      <c r="B27" s="3"/>
      <c r="C27" s="129">
        <v>27</v>
      </c>
      <c r="D27" s="129">
        <v>24</v>
      </c>
      <c r="E27" s="129">
        <v>3</v>
      </c>
      <c r="F27" s="129">
        <v>10</v>
      </c>
      <c r="G27" s="129">
        <v>6</v>
      </c>
      <c r="H27" s="129">
        <v>5</v>
      </c>
      <c r="I27" s="129">
        <v>0</v>
      </c>
      <c r="J27" s="129">
        <v>0</v>
      </c>
      <c r="K27" s="129">
        <v>0</v>
      </c>
      <c r="L27" s="129">
        <v>0</v>
      </c>
      <c r="M27" s="129">
        <v>1</v>
      </c>
      <c r="N27" s="129">
        <v>0</v>
      </c>
      <c r="O27" s="129">
        <v>0</v>
      </c>
      <c r="P27" s="129">
        <v>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1</v>
      </c>
      <c r="W27" s="129">
        <v>0</v>
      </c>
      <c r="X27" s="129">
        <v>0</v>
      </c>
      <c r="Y27" s="129">
        <v>0</v>
      </c>
      <c r="Z27" s="129">
        <v>0</v>
      </c>
      <c r="AA27" s="129">
        <v>0</v>
      </c>
      <c r="AB27" s="129">
        <v>1</v>
      </c>
      <c r="AC27" s="129">
        <v>0</v>
      </c>
      <c r="AD27" s="129">
        <v>0</v>
      </c>
      <c r="AE27" s="129">
        <v>0</v>
      </c>
      <c r="AF27" s="129">
        <v>0</v>
      </c>
      <c r="AG27" s="129">
        <v>0</v>
      </c>
      <c r="AH27" s="129">
        <v>2</v>
      </c>
      <c r="AI27" s="129">
        <v>1</v>
      </c>
      <c r="AJ27" s="129">
        <v>0</v>
      </c>
      <c r="AK27" s="129">
        <v>0</v>
      </c>
      <c r="AL27" s="129">
        <v>0</v>
      </c>
      <c r="AM27" s="129">
        <v>0</v>
      </c>
      <c r="AN27" s="129">
        <v>0</v>
      </c>
      <c r="AO27" s="130">
        <v>0</v>
      </c>
      <c r="AP27" s="114"/>
      <c r="AQ27" s="114"/>
      <c r="AR27" s="114"/>
      <c r="AS27" s="114"/>
    </row>
    <row r="28" spans="1:45" ht="14.25" customHeight="1">
      <c r="A28" s="123" t="s">
        <v>303</v>
      </c>
      <c r="B28" s="123" t="s">
        <v>304</v>
      </c>
      <c r="C28" s="124">
        <v>10</v>
      </c>
      <c r="D28" s="124">
        <v>10</v>
      </c>
      <c r="E28" s="124">
        <v>0</v>
      </c>
      <c r="F28" s="125">
        <v>0</v>
      </c>
      <c r="G28" s="125">
        <v>0</v>
      </c>
      <c r="H28" s="125">
        <v>0</v>
      </c>
      <c r="I28" s="125">
        <v>0</v>
      </c>
      <c r="J28" s="125">
        <v>0</v>
      </c>
      <c r="K28" s="125">
        <v>10</v>
      </c>
      <c r="L28" s="125">
        <v>0</v>
      </c>
      <c r="M28" s="125">
        <v>0</v>
      </c>
      <c r="N28" s="125">
        <v>0</v>
      </c>
      <c r="O28" s="125">
        <v>0</v>
      </c>
      <c r="P28" s="125">
        <v>0</v>
      </c>
      <c r="Q28" s="125">
        <v>0</v>
      </c>
      <c r="R28" s="125">
        <v>0</v>
      </c>
      <c r="S28" s="125">
        <v>0</v>
      </c>
      <c r="T28" s="125">
        <v>0</v>
      </c>
      <c r="U28" s="125">
        <v>0</v>
      </c>
      <c r="V28" s="125">
        <v>0</v>
      </c>
      <c r="W28" s="125">
        <v>0</v>
      </c>
      <c r="X28" s="125">
        <v>0</v>
      </c>
      <c r="Y28" s="125">
        <v>0</v>
      </c>
      <c r="Z28" s="125">
        <v>0</v>
      </c>
      <c r="AA28" s="125">
        <v>0</v>
      </c>
      <c r="AB28" s="125">
        <v>0</v>
      </c>
      <c r="AC28" s="125">
        <v>0</v>
      </c>
      <c r="AD28" s="125">
        <v>0</v>
      </c>
      <c r="AE28" s="125">
        <v>0</v>
      </c>
      <c r="AF28" s="125">
        <v>0</v>
      </c>
      <c r="AG28" s="125">
        <v>0</v>
      </c>
      <c r="AH28" s="125">
        <v>0</v>
      </c>
      <c r="AI28" s="125">
        <v>0</v>
      </c>
      <c r="AJ28" s="125">
        <v>0</v>
      </c>
      <c r="AK28" s="125">
        <v>0</v>
      </c>
      <c r="AL28" s="125">
        <v>0</v>
      </c>
      <c r="AM28" s="125">
        <v>0</v>
      </c>
      <c r="AN28" s="125">
        <v>0</v>
      </c>
      <c r="AO28" s="120">
        <v>0</v>
      </c>
      <c r="AP28" s="114"/>
      <c r="AQ28" s="114"/>
      <c r="AR28" s="114"/>
      <c r="AS28" s="114"/>
    </row>
    <row r="29" spans="1:45" ht="14.25" customHeight="1">
      <c r="A29" s="123" t="s">
        <v>303</v>
      </c>
      <c r="B29" s="123" t="s">
        <v>305</v>
      </c>
      <c r="C29" s="124">
        <v>9</v>
      </c>
      <c r="D29" s="124">
        <v>9</v>
      </c>
      <c r="E29" s="124">
        <v>0</v>
      </c>
      <c r="F29" s="125">
        <v>0</v>
      </c>
      <c r="G29" s="125">
        <v>0</v>
      </c>
      <c r="H29" s="125">
        <v>1</v>
      </c>
      <c r="I29" s="125">
        <v>0</v>
      </c>
      <c r="J29" s="125">
        <v>0</v>
      </c>
      <c r="K29" s="125">
        <v>8</v>
      </c>
      <c r="L29" s="125">
        <v>0</v>
      </c>
      <c r="M29" s="125">
        <v>0</v>
      </c>
      <c r="N29" s="125">
        <v>0</v>
      </c>
      <c r="O29" s="125">
        <v>0</v>
      </c>
      <c r="P29" s="125">
        <v>0</v>
      </c>
      <c r="Q29" s="125">
        <v>0</v>
      </c>
      <c r="R29" s="125">
        <v>0</v>
      </c>
      <c r="S29" s="125">
        <v>0</v>
      </c>
      <c r="T29" s="125">
        <v>0</v>
      </c>
      <c r="U29" s="125">
        <v>0</v>
      </c>
      <c r="V29" s="125">
        <v>0</v>
      </c>
      <c r="W29" s="125">
        <v>0</v>
      </c>
      <c r="X29" s="125">
        <v>0</v>
      </c>
      <c r="Y29" s="125">
        <v>0</v>
      </c>
      <c r="Z29" s="125">
        <v>0</v>
      </c>
      <c r="AA29" s="125">
        <v>0</v>
      </c>
      <c r="AB29" s="125">
        <v>0</v>
      </c>
      <c r="AC29" s="125">
        <v>0</v>
      </c>
      <c r="AD29" s="125">
        <v>0</v>
      </c>
      <c r="AE29" s="125">
        <v>0</v>
      </c>
      <c r="AF29" s="125">
        <v>0</v>
      </c>
      <c r="AG29" s="125">
        <v>0</v>
      </c>
      <c r="AH29" s="125">
        <v>0</v>
      </c>
      <c r="AI29" s="125">
        <v>0</v>
      </c>
      <c r="AJ29" s="125">
        <v>0</v>
      </c>
      <c r="AK29" s="125">
        <v>0</v>
      </c>
      <c r="AL29" s="125">
        <v>0</v>
      </c>
      <c r="AM29" s="125">
        <v>0</v>
      </c>
      <c r="AN29" s="125">
        <v>0</v>
      </c>
      <c r="AO29" s="120">
        <v>0</v>
      </c>
      <c r="AP29" s="114"/>
      <c r="AQ29" s="114"/>
      <c r="AR29" s="114"/>
      <c r="AS29" s="114"/>
    </row>
    <row r="30" spans="1:45" ht="14.25" customHeight="1">
      <c r="A30" s="123" t="s">
        <v>303</v>
      </c>
      <c r="B30" s="123" t="s">
        <v>306</v>
      </c>
      <c r="C30" s="124">
        <v>7</v>
      </c>
      <c r="D30" s="124">
        <v>7</v>
      </c>
      <c r="E30" s="124">
        <v>0</v>
      </c>
      <c r="F30" s="125">
        <v>0</v>
      </c>
      <c r="G30" s="125">
        <v>0</v>
      </c>
      <c r="H30" s="125">
        <v>0</v>
      </c>
      <c r="I30" s="125">
        <v>0</v>
      </c>
      <c r="J30" s="125">
        <v>0</v>
      </c>
      <c r="K30" s="125">
        <v>7</v>
      </c>
      <c r="L30" s="125">
        <v>0</v>
      </c>
      <c r="M30" s="125">
        <v>0</v>
      </c>
      <c r="N30" s="125">
        <v>0</v>
      </c>
      <c r="O30" s="125">
        <v>0</v>
      </c>
      <c r="P30" s="125">
        <v>0</v>
      </c>
      <c r="Q30" s="125">
        <v>0</v>
      </c>
      <c r="R30" s="125">
        <v>0</v>
      </c>
      <c r="S30" s="125">
        <v>0</v>
      </c>
      <c r="T30" s="125">
        <v>0</v>
      </c>
      <c r="U30" s="125">
        <v>0</v>
      </c>
      <c r="V30" s="125">
        <v>0</v>
      </c>
      <c r="W30" s="125">
        <v>0</v>
      </c>
      <c r="X30" s="125">
        <v>0</v>
      </c>
      <c r="Y30" s="125">
        <v>0</v>
      </c>
      <c r="Z30" s="125">
        <v>0</v>
      </c>
      <c r="AA30" s="125">
        <v>0</v>
      </c>
      <c r="AB30" s="125">
        <v>0</v>
      </c>
      <c r="AC30" s="125">
        <v>0</v>
      </c>
      <c r="AD30" s="125">
        <v>0</v>
      </c>
      <c r="AE30" s="125">
        <v>0</v>
      </c>
      <c r="AF30" s="125">
        <v>0</v>
      </c>
      <c r="AG30" s="125">
        <v>0</v>
      </c>
      <c r="AH30" s="125">
        <v>0</v>
      </c>
      <c r="AI30" s="125">
        <v>0</v>
      </c>
      <c r="AJ30" s="125">
        <v>0</v>
      </c>
      <c r="AK30" s="125">
        <v>0</v>
      </c>
      <c r="AL30" s="125">
        <v>0</v>
      </c>
      <c r="AM30" s="125">
        <v>0</v>
      </c>
      <c r="AN30" s="125">
        <v>0</v>
      </c>
      <c r="AO30" s="120">
        <v>0</v>
      </c>
      <c r="AP30" s="114"/>
      <c r="AQ30" s="114"/>
      <c r="AR30" s="114"/>
      <c r="AS30" s="114"/>
    </row>
    <row r="31" spans="1:45" ht="14.25" customHeight="1">
      <c r="A31" s="123" t="s">
        <v>303</v>
      </c>
      <c r="B31" s="123" t="s">
        <v>307</v>
      </c>
      <c r="C31" s="124">
        <v>4</v>
      </c>
      <c r="D31" s="124">
        <v>4</v>
      </c>
      <c r="E31" s="124">
        <v>0</v>
      </c>
      <c r="F31" s="125">
        <v>0</v>
      </c>
      <c r="G31" s="125">
        <v>0</v>
      </c>
      <c r="H31" s="125">
        <v>0</v>
      </c>
      <c r="I31" s="125">
        <v>0</v>
      </c>
      <c r="J31" s="125">
        <v>0</v>
      </c>
      <c r="K31" s="125">
        <v>4</v>
      </c>
      <c r="L31" s="125">
        <v>0</v>
      </c>
      <c r="M31" s="125">
        <v>0</v>
      </c>
      <c r="N31" s="125">
        <v>0</v>
      </c>
      <c r="O31" s="125">
        <v>0</v>
      </c>
      <c r="P31" s="125">
        <v>0</v>
      </c>
      <c r="Q31" s="125">
        <v>0</v>
      </c>
      <c r="R31" s="125">
        <v>0</v>
      </c>
      <c r="S31" s="125">
        <v>0</v>
      </c>
      <c r="T31" s="125">
        <v>0</v>
      </c>
      <c r="U31" s="125">
        <v>0</v>
      </c>
      <c r="V31" s="125">
        <v>0</v>
      </c>
      <c r="W31" s="125">
        <v>0</v>
      </c>
      <c r="X31" s="125">
        <v>0</v>
      </c>
      <c r="Y31" s="125">
        <v>0</v>
      </c>
      <c r="Z31" s="125">
        <v>0</v>
      </c>
      <c r="AA31" s="125">
        <v>0</v>
      </c>
      <c r="AB31" s="125">
        <v>0</v>
      </c>
      <c r="AC31" s="125">
        <v>0</v>
      </c>
      <c r="AD31" s="125">
        <v>0</v>
      </c>
      <c r="AE31" s="125">
        <v>0</v>
      </c>
      <c r="AF31" s="125">
        <v>0</v>
      </c>
      <c r="AG31" s="125">
        <v>0</v>
      </c>
      <c r="AH31" s="125">
        <v>0</v>
      </c>
      <c r="AI31" s="125">
        <v>0</v>
      </c>
      <c r="AJ31" s="125">
        <v>0</v>
      </c>
      <c r="AK31" s="125">
        <v>0</v>
      </c>
      <c r="AL31" s="125">
        <v>0</v>
      </c>
      <c r="AM31" s="125">
        <v>0</v>
      </c>
      <c r="AN31" s="125">
        <v>0</v>
      </c>
      <c r="AO31" s="120">
        <v>0</v>
      </c>
      <c r="AP31" s="114"/>
      <c r="AQ31" s="114"/>
      <c r="AR31" s="114"/>
      <c r="AS31" s="114"/>
    </row>
    <row r="32" spans="1:45" ht="14.25" customHeight="1">
      <c r="A32" s="123" t="s">
        <v>303</v>
      </c>
      <c r="B32" s="123" t="s">
        <v>308</v>
      </c>
      <c r="C32" s="124">
        <v>5</v>
      </c>
      <c r="D32" s="124">
        <v>5</v>
      </c>
      <c r="E32" s="124">
        <v>0</v>
      </c>
      <c r="F32" s="125">
        <v>0</v>
      </c>
      <c r="G32" s="125">
        <v>0</v>
      </c>
      <c r="H32" s="125">
        <v>0</v>
      </c>
      <c r="I32" s="125">
        <v>0</v>
      </c>
      <c r="J32" s="125">
        <v>0</v>
      </c>
      <c r="K32" s="125">
        <v>5</v>
      </c>
      <c r="L32" s="125">
        <v>0</v>
      </c>
      <c r="M32" s="125">
        <v>0</v>
      </c>
      <c r="N32" s="125">
        <v>0</v>
      </c>
      <c r="O32" s="125">
        <v>0</v>
      </c>
      <c r="P32" s="125">
        <v>0</v>
      </c>
      <c r="Q32" s="125">
        <v>0</v>
      </c>
      <c r="R32" s="125">
        <v>0</v>
      </c>
      <c r="S32" s="125">
        <v>0</v>
      </c>
      <c r="T32" s="125">
        <v>0</v>
      </c>
      <c r="U32" s="125">
        <v>0</v>
      </c>
      <c r="V32" s="125">
        <v>0</v>
      </c>
      <c r="W32" s="125">
        <v>0</v>
      </c>
      <c r="X32" s="125">
        <v>0</v>
      </c>
      <c r="Y32" s="125">
        <v>0</v>
      </c>
      <c r="Z32" s="125">
        <v>0</v>
      </c>
      <c r="AA32" s="125">
        <v>0</v>
      </c>
      <c r="AB32" s="125">
        <v>0</v>
      </c>
      <c r="AC32" s="125">
        <v>0</v>
      </c>
      <c r="AD32" s="125">
        <v>0</v>
      </c>
      <c r="AE32" s="125">
        <v>0</v>
      </c>
      <c r="AF32" s="125">
        <v>0</v>
      </c>
      <c r="AG32" s="125">
        <v>0</v>
      </c>
      <c r="AH32" s="125">
        <v>0</v>
      </c>
      <c r="AI32" s="125">
        <v>0</v>
      </c>
      <c r="AJ32" s="125">
        <v>0</v>
      </c>
      <c r="AK32" s="125">
        <v>0</v>
      </c>
      <c r="AL32" s="125">
        <v>0</v>
      </c>
      <c r="AM32" s="125">
        <v>0</v>
      </c>
      <c r="AN32" s="125">
        <v>0</v>
      </c>
      <c r="AO32" s="120">
        <v>0</v>
      </c>
      <c r="AP32" s="114"/>
      <c r="AQ32" s="114"/>
      <c r="AR32" s="114"/>
      <c r="AS32" s="114"/>
    </row>
    <row r="33" spans="1:45" ht="14.25" customHeight="1">
      <c r="A33" s="3" t="s">
        <v>309</v>
      </c>
      <c r="B33" s="3"/>
      <c r="C33" s="129">
        <v>35</v>
      </c>
      <c r="D33" s="129">
        <v>35</v>
      </c>
      <c r="E33" s="129">
        <v>0</v>
      </c>
      <c r="F33" s="129">
        <v>0</v>
      </c>
      <c r="G33" s="129">
        <v>0</v>
      </c>
      <c r="H33" s="129">
        <v>1</v>
      </c>
      <c r="I33" s="129">
        <v>0</v>
      </c>
      <c r="J33" s="129">
        <v>0</v>
      </c>
      <c r="K33" s="129">
        <v>34</v>
      </c>
      <c r="L33" s="129">
        <v>0</v>
      </c>
      <c r="M33" s="129">
        <v>0</v>
      </c>
      <c r="N33" s="129">
        <v>0</v>
      </c>
      <c r="O33" s="129">
        <v>0</v>
      </c>
      <c r="P33" s="129">
        <v>0</v>
      </c>
      <c r="Q33" s="129">
        <v>0</v>
      </c>
      <c r="R33" s="129">
        <v>0</v>
      </c>
      <c r="S33" s="129">
        <v>0</v>
      </c>
      <c r="T33" s="129">
        <v>0</v>
      </c>
      <c r="U33" s="129">
        <v>0</v>
      </c>
      <c r="V33" s="129">
        <v>0</v>
      </c>
      <c r="W33" s="129">
        <v>0</v>
      </c>
      <c r="X33" s="129">
        <v>0</v>
      </c>
      <c r="Y33" s="129">
        <v>0</v>
      </c>
      <c r="Z33" s="129">
        <v>0</v>
      </c>
      <c r="AA33" s="129">
        <v>0</v>
      </c>
      <c r="AB33" s="129">
        <v>0</v>
      </c>
      <c r="AC33" s="129">
        <v>0</v>
      </c>
      <c r="AD33" s="129">
        <v>0</v>
      </c>
      <c r="AE33" s="129">
        <v>0</v>
      </c>
      <c r="AF33" s="129">
        <v>0</v>
      </c>
      <c r="AG33" s="129">
        <v>0</v>
      </c>
      <c r="AH33" s="129">
        <v>0</v>
      </c>
      <c r="AI33" s="129">
        <v>0</v>
      </c>
      <c r="AJ33" s="129">
        <v>0</v>
      </c>
      <c r="AK33" s="129">
        <v>0</v>
      </c>
      <c r="AL33" s="129">
        <v>0</v>
      </c>
      <c r="AM33" s="129">
        <v>0</v>
      </c>
      <c r="AN33" s="129">
        <v>0</v>
      </c>
      <c r="AO33" s="130">
        <v>0</v>
      </c>
      <c r="AP33" s="114"/>
      <c r="AQ33" s="114"/>
      <c r="AR33" s="114"/>
      <c r="AS33" s="114"/>
    </row>
    <row r="34" spans="1:45" ht="14.25" customHeight="1">
      <c r="A34" s="2" t="s">
        <v>310</v>
      </c>
      <c r="B34" s="2"/>
      <c r="C34" s="131">
        <v>266</v>
      </c>
      <c r="D34" s="131">
        <v>253</v>
      </c>
      <c r="E34" s="131">
        <v>13</v>
      </c>
      <c r="F34" s="131">
        <v>44</v>
      </c>
      <c r="G34" s="131">
        <v>44</v>
      </c>
      <c r="H34" s="131">
        <v>38</v>
      </c>
      <c r="I34" s="131">
        <v>44</v>
      </c>
      <c r="J34" s="131">
        <v>32</v>
      </c>
      <c r="K34" s="131">
        <v>34</v>
      </c>
      <c r="L34" s="131">
        <v>12</v>
      </c>
      <c r="M34" s="131">
        <v>2</v>
      </c>
      <c r="N34" s="131">
        <v>0</v>
      </c>
      <c r="O34" s="131">
        <v>0</v>
      </c>
      <c r="P34" s="131">
        <v>0</v>
      </c>
      <c r="Q34" s="131">
        <v>0</v>
      </c>
      <c r="R34" s="131">
        <v>0</v>
      </c>
      <c r="S34" s="131">
        <v>0</v>
      </c>
      <c r="T34" s="131">
        <v>0</v>
      </c>
      <c r="U34" s="131">
        <v>0</v>
      </c>
      <c r="V34" s="131">
        <v>1</v>
      </c>
      <c r="W34" s="131">
        <v>1</v>
      </c>
      <c r="X34" s="131">
        <v>0</v>
      </c>
      <c r="Y34" s="131">
        <v>0</v>
      </c>
      <c r="Z34" s="131">
        <v>0</v>
      </c>
      <c r="AA34" s="131">
        <v>0</v>
      </c>
      <c r="AB34" s="131">
        <v>1</v>
      </c>
      <c r="AC34" s="131">
        <v>0</v>
      </c>
      <c r="AD34" s="131">
        <v>0</v>
      </c>
      <c r="AE34" s="131">
        <v>0</v>
      </c>
      <c r="AF34" s="131">
        <v>4</v>
      </c>
      <c r="AG34" s="131">
        <v>3</v>
      </c>
      <c r="AH34" s="131">
        <v>4</v>
      </c>
      <c r="AI34" s="131">
        <v>1</v>
      </c>
      <c r="AJ34" s="131">
        <v>0</v>
      </c>
      <c r="AK34" s="131">
        <v>0</v>
      </c>
      <c r="AL34" s="131">
        <v>0</v>
      </c>
      <c r="AM34" s="131">
        <v>1</v>
      </c>
      <c r="AN34" s="131">
        <v>0</v>
      </c>
      <c r="AO34" s="132">
        <v>9</v>
      </c>
      <c r="AP34" s="114"/>
      <c r="AQ34" s="114"/>
      <c r="AR34" s="114"/>
      <c r="AS34" s="114"/>
    </row>
    <row r="35" spans="1:45" ht="27" customHeight="1">
      <c r="A35" s="1" t="s">
        <v>311</v>
      </c>
      <c r="B35" s="1"/>
      <c r="C35" s="132"/>
      <c r="D35" s="132"/>
      <c r="E35" s="132"/>
      <c r="F35" s="133">
        <f>F34/44*100</f>
        <v>100</v>
      </c>
      <c r="G35" s="133">
        <f>G34/44*100</f>
        <v>100</v>
      </c>
      <c r="H35" s="133">
        <f>H34/39*100</f>
        <v>97.435897435897431</v>
      </c>
      <c r="I35" s="133">
        <f>I34/44*100</f>
        <v>100</v>
      </c>
      <c r="J35" s="133">
        <f>J34/32*100</f>
        <v>100</v>
      </c>
      <c r="K35" s="133">
        <f>K34/36*100</f>
        <v>94.444444444444443</v>
      </c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34">
        <f>AF34/5*100</f>
        <v>80</v>
      </c>
      <c r="AG35" s="120"/>
      <c r="AH35" s="120"/>
      <c r="AI35" s="120"/>
      <c r="AJ35" s="120"/>
      <c r="AK35" s="120"/>
      <c r="AL35" s="120"/>
      <c r="AM35" s="120"/>
      <c r="AN35" s="120"/>
      <c r="AO35" s="120"/>
      <c r="AP35" s="114"/>
      <c r="AQ35" s="114"/>
      <c r="AR35" s="114"/>
      <c r="AS35" s="114"/>
    </row>
  </sheetData>
  <mergeCells count="5">
    <mergeCell ref="A21:B21"/>
    <mergeCell ref="A27:B27"/>
    <mergeCell ref="A33:B33"/>
    <mergeCell ref="A34:B34"/>
    <mergeCell ref="A35:B35"/>
  </mergeCells>
  <phoneticPr fontId="50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취합본</vt:lpstr>
      <vt:lpstr>우선순위 분석</vt:lpstr>
      <vt:lpstr>경영팀 표1</vt:lpstr>
      <vt:lpstr>경영팀 표2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Sung-Soo Park</dc:creator>
  <dc:description/>
  <cp:lastModifiedBy>Sung-Soo Park</cp:lastModifiedBy>
  <cp:revision>0</cp:revision>
  <dcterms:created xsi:type="dcterms:W3CDTF">2026-06-11T22:06:26Z</dcterms:created>
  <dcterms:modified xsi:type="dcterms:W3CDTF">2026-06-24T01:09:39Z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